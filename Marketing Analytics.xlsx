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drawings/drawing2.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0"/>
  <workbookPr hidePivotFieldList="1" defaultThemeVersion="166925"/>
  <mc:AlternateContent xmlns:mc="http://schemas.openxmlformats.org/markup-compatibility/2006">
    <mc:Choice Requires="x15">
      <x15ac:absPath xmlns:x15ac="http://schemas.microsoft.com/office/spreadsheetml/2010/11/ac" url="C:\Users\user\Videos\New Portfolio Projects\Marketing Analytics Project\"/>
    </mc:Choice>
  </mc:AlternateContent>
  <xr:revisionPtr revIDLastSave="0" documentId="13_ncr:1_{E03B17FE-1041-4ACD-AE1E-BD436357B359}" xr6:coauthVersionLast="47" xr6:coauthVersionMax="47" xr10:uidLastSave="{00000000-0000-0000-0000-000000000000}"/>
  <bookViews>
    <workbookView xWindow="-108" yWindow="-108" windowWidth="23256" windowHeight="12576" activeTab="1" xr2:uid="{C1D5C995-3DEC-4B26-87C4-6F987C7B4BEE}"/>
  </bookViews>
  <sheets>
    <sheet name="Processing" sheetId="5" r:id="rId1"/>
    <sheet name="DASHBOARD" sheetId="2" r:id="rId2"/>
    <sheet name="Insights" sheetId="6" r:id="rId3"/>
    <sheet name="DATASET" sheetId="3" r:id="rId4"/>
    <sheet name="Pivot" sheetId="1" r:id="rId5"/>
  </sheets>
  <definedNames>
    <definedName name="ExternalData_1" localSheetId="3" hidden="1">DATASET!$B$5:$Q$1039</definedName>
    <definedName name="Slicer_Months__Date">#N/A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49" i="5" l="1" a="1"/>
  <c r="A49" i="5" s="1"/>
  <c r="H12" i="5"/>
  <c r="H16" i="5"/>
  <c r="H20" i="5"/>
  <c r="H19" i="5"/>
  <c r="H13" i="5"/>
  <c r="H17" i="5"/>
  <c r="H21" i="5"/>
  <c r="H14" i="5"/>
  <c r="H18" i="5"/>
  <c r="H22" i="5"/>
  <c r="H15" i="5"/>
  <c r="H11" i="5"/>
  <c r="G12" i="5"/>
  <c r="G16" i="5"/>
  <c r="G20" i="5"/>
  <c r="G18" i="5"/>
  <c r="G15" i="5"/>
  <c r="G13" i="5"/>
  <c r="G17" i="5"/>
  <c r="G21" i="5"/>
  <c r="G14" i="5"/>
  <c r="G22" i="5"/>
  <c r="G19" i="5"/>
  <c r="G11" i="5"/>
  <c r="B45" i="5"/>
  <c r="B46" i="5"/>
  <c r="B44" i="5"/>
  <c r="D57" i="5" l="1"/>
  <c r="D53" i="5"/>
  <c r="D49" i="5"/>
  <c r="D60" i="5"/>
  <c r="D56" i="5"/>
  <c r="D52" i="5"/>
  <c r="D58" i="5"/>
  <c r="D54" i="5"/>
  <c r="D50" i="5"/>
  <c r="D59" i="5"/>
  <c r="D55" i="5"/>
  <c r="D51" i="5"/>
  <c r="D23" i="5"/>
  <c r="C23" i="5"/>
  <c r="A64" i="5" l="1" a="1"/>
  <c r="A64" i="5" s="1"/>
  <c r="C65" i="5" l="1"/>
  <c r="C67" i="5"/>
  <c r="C66" i="5"/>
  <c r="C68" i="5"/>
  <c r="C64" i="5"/>
  <c r="B37" i="5" l="1"/>
  <c r="B38" i="5"/>
  <c r="B39" i="5"/>
  <c r="B36" i="5"/>
  <c r="C29" i="5"/>
  <c r="C30" i="5"/>
  <c r="C31" i="5"/>
  <c r="C28" i="5"/>
  <c r="B29" i="5"/>
  <c r="B30" i="5"/>
  <c r="B31" i="5"/>
  <c r="B28" i="5"/>
  <c r="C12" i="5"/>
  <c r="C16" i="5"/>
  <c r="C20" i="5"/>
  <c r="C18" i="5"/>
  <c r="C15" i="5"/>
  <c r="C13" i="5"/>
  <c r="C17" i="5"/>
  <c r="C21" i="5"/>
  <c r="C14" i="5"/>
  <c r="C22" i="5"/>
  <c r="C19" i="5"/>
  <c r="C11" i="5"/>
  <c r="C36" i="5" l="1"/>
  <c r="D36" i="5" s="1"/>
  <c r="C39" i="5"/>
  <c r="D39" i="5" s="1"/>
  <c r="C38" i="5"/>
  <c r="D38" i="5" s="1"/>
  <c r="C37" i="5"/>
  <c r="D37" i="5" s="1"/>
  <c r="D27" i="5"/>
  <c r="D29" i="5" l="1"/>
  <c r="D30" i="5"/>
  <c r="D31" i="5"/>
  <c r="D28" i="5"/>
  <c r="B12" i="5" l="1"/>
  <c r="B16" i="5"/>
  <c r="B20" i="5"/>
  <c r="B18" i="5"/>
  <c r="B15" i="5"/>
  <c r="B13" i="5"/>
  <c r="B17" i="5"/>
  <c r="B21" i="5"/>
  <c r="B14" i="5"/>
  <c r="B22" i="5"/>
  <c r="B19" i="5"/>
  <c r="B11" i="5"/>
  <c r="A4" i="5"/>
  <c r="D11" i="5"/>
  <c r="D20" i="5"/>
  <c r="D18" i="5"/>
  <c r="D16" i="5"/>
  <c r="D13" i="5"/>
  <c r="D12" i="5"/>
  <c r="D22" i="5"/>
  <c r="D19" i="5"/>
  <c r="D15" i="5"/>
  <c r="D14" i="5"/>
  <c r="D17" i="5"/>
  <c r="D21" i="5"/>
  <c r="E9" i="5" l="1"/>
  <c r="A6" i="5"/>
  <c r="E21" i="5" l="1"/>
  <c r="E18" i="5"/>
  <c r="E11" i="5"/>
  <c r="E12" i="5"/>
  <c r="E19" i="5"/>
  <c r="E17" i="5"/>
  <c r="E20" i="5"/>
  <c r="E22" i="5"/>
  <c r="E13" i="5"/>
  <c r="E16" i="5"/>
  <c r="E14" i="5"/>
  <c r="E15" i="5"/>
  <c r="E4" i="5"/>
  <c r="D4" i="5"/>
  <c r="C4" i="5"/>
  <c r="B4" i="5"/>
  <c r="D2" i="5"/>
  <c r="C2" i="5"/>
  <c r="B2" i="5"/>
  <c r="A2" i="5"/>
  <c r="F2" i="5" l="1"/>
  <c r="B6" i="5"/>
  <c r="C6" i="5"/>
  <c r="D6" i="5"/>
  <c r="E6" i="5"/>
  <c r="A5" i="5"/>
  <c r="B5" i="5"/>
  <c r="C5" i="5"/>
  <c r="D5" i="5"/>
  <c r="E5" i="5"/>
  <c r="E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116122-A3B0-4E6C-8256-07D359E77958}" keepAlive="1" name="Query - Marketing_Analytics_Dataset" description="Connection to the 'Marketing_Analytics_Dataset' query in the workbook." type="5" refreshedVersion="8" background="1">
    <dbPr connection="Provider=Microsoft.Mashup.OleDb.1;Data Source=$Workbook$;Location=Marketing_Analytics_Dataset;Extended Properties=&quot;&quot;" command="SELECT * FROM [Marketing_Analytics_Dataset]"/>
  </connection>
  <connection id="2" xr16:uid="{73F49E60-FD09-4E18-AABB-0585CD81039C}" keepAlive="1" name="Query - Marketing_Analytics_Dataset (2)" description="Connection to the 'Marketing_Analytics_Dataset (2)' query in the workbook." type="5" refreshedVersion="8" background="1" saveData="1">
    <dbPr connection="Provider=Microsoft.Mashup.OleDb.1;Data Source=$Workbook$;Location=&quot;Marketing_Analytics_Dataset (2)&quot;;Extended Properties=&quot;&quot;" command="SELECT * FROM [Marketing_Analytics_Dataset (2)]"/>
  </connection>
  <connection id="3" xr16:uid="{208E8391-7F98-445E-84D4-7DC237D8AFA3}" keepAlive="1" name="Query - Sales (2)" description="Connection to the 'Sales (2)' query in the workbook." type="5" refreshedVersion="8" background="1" saveData="1">
    <dbPr connection="Provider=Microsoft.Mashup.OleDb.1;Data Source=$Workbook$;Location=&quot;Sales (2)&quot;;Extended Properties=&quot;&quot;" command="SELECT * FROM [Sales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<sst xmlns="http://schemas.openxmlformats.org/spreadsheetml/2006/main" count="6380" uniqueCount="111">
  <si>
    <t>Total Revenue</t>
  </si>
  <si>
    <t>Spend</t>
  </si>
  <si>
    <t>Total Impressions</t>
  </si>
  <si>
    <t>Conversions</t>
  </si>
  <si>
    <t>Cost Per Conversion</t>
  </si>
  <si>
    <t>Sum of Revenue</t>
  </si>
  <si>
    <t>Sum of Spend</t>
  </si>
  <si>
    <t>Sum of Impressions</t>
  </si>
  <si>
    <t>Sum of Conversions</t>
  </si>
  <si>
    <t>Row Labels</t>
  </si>
  <si>
    <t>East</t>
  </si>
  <si>
    <t>North</t>
  </si>
  <si>
    <t>South</t>
  </si>
  <si>
    <t>West</t>
  </si>
  <si>
    <t>Grand Total</t>
  </si>
  <si>
    <t>2023</t>
  </si>
  <si>
    <t>2024</t>
  </si>
  <si>
    <t>Jan</t>
  </si>
  <si>
    <t>Feb</t>
  </si>
  <si>
    <t>Mar</t>
  </si>
  <si>
    <t>Apr</t>
  </si>
  <si>
    <t>May</t>
  </si>
  <si>
    <t>Jun</t>
  </si>
  <si>
    <t>Jul</t>
  </si>
  <si>
    <t>Aug</t>
  </si>
  <si>
    <t>Sep</t>
  </si>
  <si>
    <t>Oct</t>
  </si>
  <si>
    <t>Nov</t>
  </si>
  <si>
    <t>Dec</t>
  </si>
  <si>
    <t>Column Labels</t>
  </si>
  <si>
    <t>Direct Mail</t>
  </si>
  <si>
    <t>Email</t>
  </si>
  <si>
    <t>Search Engine</t>
  </si>
  <si>
    <t>Social Media</t>
  </si>
  <si>
    <t>Brand Awareness Campaign</t>
  </si>
  <si>
    <t>Cart Abandonment Campaign</t>
  </si>
  <si>
    <t>Email Promotion</t>
  </si>
  <si>
    <t>Flash Sale Campaign</t>
  </si>
  <si>
    <t>Influencer Marketing Campaign</t>
  </si>
  <si>
    <t>Loyalty Program Campaign</t>
  </si>
  <si>
    <t>New Product Launch</t>
  </si>
  <si>
    <t>Retargeting Campaign</t>
  </si>
  <si>
    <t>Search Engine Ads Campaign</t>
  </si>
  <si>
    <t>Seasonal Discount Campaign</t>
  </si>
  <si>
    <t>Social Media Boost Campaign</t>
  </si>
  <si>
    <t>Summer Sale Campaign</t>
  </si>
  <si>
    <t>Sum of ROI</t>
  </si>
  <si>
    <t>Electronics</t>
  </si>
  <si>
    <t>Fashion</t>
  </si>
  <si>
    <t>Health &amp; Fitness</t>
  </si>
  <si>
    <t>Average of CPC</t>
  </si>
  <si>
    <t>Monthly Revenue Trend</t>
  </si>
  <si>
    <t>Revenue</t>
  </si>
  <si>
    <t>Cursor R</t>
  </si>
  <si>
    <t>Previous</t>
  </si>
  <si>
    <t>Positive</t>
  </si>
  <si>
    <t>Negative</t>
  </si>
  <si>
    <t>Total Spend</t>
  </si>
  <si>
    <t>Total Conversions</t>
  </si>
  <si>
    <t>YOY Growth %</t>
  </si>
  <si>
    <t>Label</t>
  </si>
  <si>
    <t>Revenue by Region</t>
  </si>
  <si>
    <t>P1</t>
  </si>
  <si>
    <t>P2</t>
  </si>
  <si>
    <t>P3</t>
  </si>
  <si>
    <t>Bluetooth Speaker</t>
  </si>
  <si>
    <t>Casual T-Shirt</t>
  </si>
  <si>
    <t>Denim Jeans</t>
  </si>
  <si>
    <t>Fitness Tracker</t>
  </si>
  <si>
    <t>Gaming Mouse</t>
  </si>
  <si>
    <t>Gym Gloves</t>
  </si>
  <si>
    <t>Hoodie</t>
  </si>
  <si>
    <t>Laptop Stand</t>
  </si>
  <si>
    <t>Mechanical Keyboard</t>
  </si>
  <si>
    <t>Multivitamins</t>
  </si>
  <si>
    <t>Power Bank</t>
  </si>
  <si>
    <t>Protein Powder</t>
  </si>
  <si>
    <t>Resistance Bands</t>
  </si>
  <si>
    <t>Running Shoes</t>
  </si>
  <si>
    <t>Smart Watch</t>
  </si>
  <si>
    <t>Sneakers</t>
  </si>
  <si>
    <t>Sports Jacket</t>
  </si>
  <si>
    <t>Wireless Earbuds</t>
  </si>
  <si>
    <t>Yoga Mat</t>
  </si>
  <si>
    <t>Yoga Pants</t>
  </si>
  <si>
    <t>Q1</t>
  </si>
  <si>
    <t>Q2</t>
  </si>
  <si>
    <t>Q3</t>
  </si>
  <si>
    <t>Q4</t>
  </si>
  <si>
    <t>Revenue by Category</t>
  </si>
  <si>
    <t>Top Campaigns by Revenue</t>
  </si>
  <si>
    <t>ROI by Campaign</t>
  </si>
  <si>
    <t>Total ROI</t>
  </si>
  <si>
    <t>ROI</t>
  </si>
  <si>
    <t>Spent</t>
  </si>
  <si>
    <t>Revenue &amp; Conversions by Channel</t>
  </si>
  <si>
    <t>Date</t>
  </si>
  <si>
    <t>Region</t>
  </si>
  <si>
    <t>Product</t>
  </si>
  <si>
    <t>Category</t>
  </si>
  <si>
    <t>Campaign</t>
  </si>
  <si>
    <t>Marketing_Channel</t>
  </si>
  <si>
    <t>Quarter</t>
  </si>
  <si>
    <t>Impressions</t>
  </si>
  <si>
    <t>Clicks</t>
  </si>
  <si>
    <t>Conversion Rate</t>
  </si>
  <si>
    <t>CTR</t>
  </si>
  <si>
    <t>CPC</t>
  </si>
  <si>
    <t>PRIMARY KPIs</t>
  </si>
  <si>
    <t>Monthly Revenue Trends (Selector)</t>
  </si>
  <si>
    <t>Monthly Revenue Trends (Actual)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</si>
</sst>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Green]\▲\ 0.00%;[Red]\▼0.00%"/>
    <numFmt numFmtId="166" formatCode="[&gt;=1000000]0.0,,&quot;M&quot;;[&gt;=1000]0,&quot;K&quot;;0.00"/>
  </numFmts>
  <fonts count="12"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2"/>
      <color rgb="FF000000"/>
      <name val="Calibri"/>
      <family val="2"/>
      <scheme val="minor"/>
    </font>
    <font>
      <b/>
      <sz val="11"/>
      <color rgb="FF000000"/>
      <name val="Arial"/>
      <family val="2"/>
    </font>
    <font>
      <b/>
      <sz val="10"/>
      <color rgb="FF000000"/>
      <name val="Arial"/>
      <family val="2"/>
    </font>
    <font>
      <sz val="8"/>
      <name val="Calibri"/>
      <family val="2"/>
      <scheme val="minor"/>
    </font>
    <font>
      <b/>
      <sz val="11"/>
      <color rgb="FFFF0000"/>
      <name val="Calibri"/>
      <family val="2"/>
      <scheme val="minor"/>
    </font>
    <font>
      <b/>
      <sz val="11"/>
      <color rgb="FF00B050"/>
      <name val="Calibri"/>
      <family val="2"/>
      <scheme val="minor"/>
    </font>
    <font>
      <sz val="11"/>
      <color rgb="FF99A8BD"/>
      <name val="Aptos Narrow"/>
      <family val="2"/>
    </font>
    <font>
      <b/>
      <sz val="14"/>
      <color theme="1"/>
      <name val="Calibri"/>
      <family val="2"/>
      <scheme val="minor"/>
    </font>
  </fonts>
  <fills count="6">
    <fill>
      <patternFill patternType="none"/>
    </fill>
    <fill>
      <patternFill patternType="gray125"/>
    </fill>
    <fill>
      <patternFill patternType="solid">
        <fgColor rgb="FF212E3B"/>
        <bgColor indexed="64"/>
      </patternFill>
    </fill>
    <fill>
      <patternFill patternType="solid">
        <fgColor rgb="FF273645"/>
        <bgColor indexed="64"/>
      </patternFill>
    </fill>
    <fill>
      <patternFill patternType="solid">
        <fgColor rgb="FF324558"/>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rgb="FFD9D9D9"/>
      </left>
      <right style="thin">
        <color rgb="FFD9D9D9"/>
      </right>
      <top style="thin">
        <color rgb="FFD9D9D9"/>
      </top>
      <bottom style="thin">
        <color rgb="FFD9D9D9"/>
      </bottom>
      <diagonal/>
    </border>
    <border>
      <left/>
      <right/>
      <top/>
      <bottom style="thin">
        <color rgb="FFD9D9D9"/>
      </bottom>
      <diagonal/>
    </border>
  </borders>
  <cellStyleXfs count="2">
    <xf numFmtId="0" fontId="0" fillId="0" borderId="0"/>
    <xf numFmtId="9" fontId="1" fillId="0" borderId="0" applyFont="0" applyFill="0" applyBorder="0" applyAlignment="0" applyProtection="0"/>
  </cellStyleXfs>
  <cellXfs count="33">
    <xf numFmtId="0" fontId="0" fillId="0" borderId="0" xfId="0"/>
    <xf numFmtId="0" fontId="4" fillId="0" borderId="0" xfId="0" applyFont="1" applyAlignment="1">
      <alignment horizontal="left" vertical="center" readingOrder="1"/>
    </xf>
    <xf numFmtId="0" fontId="0" fillId="0" borderId="0" xfId="0" applyNumberFormat="1"/>
    <xf numFmtId="0" fontId="0" fillId="0" borderId="0" xfId="0" pivotButton="1"/>
    <xf numFmtId="0" fontId="0" fillId="0" borderId="0" xfId="0" applyAlignment="1">
      <alignment horizontal="left"/>
    </xf>
    <xf numFmtId="0" fontId="2" fillId="0" borderId="1" xfId="0" applyFont="1" applyBorder="1" applyAlignment="1">
      <alignment horizontal="center"/>
    </xf>
    <xf numFmtId="1" fontId="0" fillId="0" borderId="1" xfId="0" applyNumberFormat="1" applyBorder="1" applyAlignment="1">
      <alignment horizontal="center"/>
    </xf>
    <xf numFmtId="0" fontId="5" fillId="0" borderId="0" xfId="0" applyFont="1" applyAlignment="1">
      <alignment horizontal="justify" vertical="center" readingOrder="1"/>
    </xf>
    <xf numFmtId="9" fontId="0" fillId="0" borderId="0" xfId="1" applyFont="1"/>
    <xf numFmtId="165" fontId="2" fillId="0" borderId="1" xfId="1" applyNumberFormat="1" applyFont="1" applyBorder="1"/>
    <xf numFmtId="0" fontId="8" fillId="0" borderId="0" xfId="0" applyFont="1"/>
    <xf numFmtId="0" fontId="2" fillId="0" borderId="0" xfId="0" applyFont="1"/>
    <xf numFmtId="0" fontId="9" fillId="0" borderId="0" xfId="0" applyFont="1"/>
    <xf numFmtId="166" fontId="0" fillId="0" borderId="1" xfId="0" applyNumberFormat="1" applyBorder="1" applyAlignment="1">
      <alignment horizontal="center"/>
    </xf>
    <xf numFmtId="0" fontId="0" fillId="0" borderId="1" xfId="0" applyBorder="1"/>
    <xf numFmtId="0" fontId="2" fillId="0" borderId="1" xfId="0" applyFont="1" applyBorder="1"/>
    <xf numFmtId="166" fontId="2" fillId="0" borderId="1" xfId="0" applyNumberFormat="1" applyFont="1" applyBorder="1" applyAlignment="1">
      <alignment horizontal="center"/>
    </xf>
    <xf numFmtId="0" fontId="2" fillId="0" borderId="2" xfId="0" applyFont="1" applyFill="1" applyBorder="1"/>
    <xf numFmtId="0" fontId="0" fillId="0" borderId="0" xfId="0" applyBorder="1"/>
    <xf numFmtId="165" fontId="2" fillId="0" borderId="0" xfId="1" applyNumberFormat="1" applyFont="1" applyBorder="1"/>
    <xf numFmtId="164" fontId="0" fillId="0" borderId="0" xfId="0" applyNumberFormat="1"/>
    <xf numFmtId="0" fontId="6" fillId="0" borderId="1" xfId="0" applyFont="1" applyBorder="1" applyAlignment="1">
      <alignment horizontal="justify" vertical="top" readingOrder="1"/>
    </xf>
    <xf numFmtId="0" fontId="10" fillId="0" borderId="0" xfId="0" applyFont="1" applyAlignment="1">
      <alignment horizontal="center" vertical="center" readingOrder="1"/>
    </xf>
    <xf numFmtId="166" fontId="0" fillId="0" borderId="0" xfId="0" applyNumberFormat="1"/>
    <xf numFmtId="164" fontId="2" fillId="0" borderId="1" xfId="0" applyNumberFormat="1" applyFont="1" applyBorder="1" applyAlignment="1">
      <alignment horizontal="center"/>
    </xf>
    <xf numFmtId="10" fontId="0" fillId="0" borderId="0" xfId="1" applyNumberFormat="1" applyFont="1"/>
    <xf numFmtId="0" fontId="0" fillId="2" borderId="0" xfId="0" applyFill="1"/>
    <xf numFmtId="0" fontId="0" fillId="3" borderId="3" xfId="0" applyFill="1" applyBorder="1"/>
    <xf numFmtId="0" fontId="3" fillId="4" borderId="3" xfId="0" applyFont="1" applyFill="1" applyBorder="1"/>
    <xf numFmtId="14" fontId="3" fillId="4" borderId="3" xfId="0" applyNumberFormat="1" applyFont="1" applyFill="1" applyBorder="1"/>
    <xf numFmtId="0" fontId="11" fillId="5" borderId="0" xfId="0" applyFont="1" applyFill="1"/>
    <xf numFmtId="0" fontId="0" fillId="2" borderId="0" xfId="0" applyFill="1" applyAlignment="1">
      <alignment horizontal="center"/>
    </xf>
    <xf numFmtId="0" fontId="0" fillId="2" borderId="4" xfId="0" applyFill="1" applyBorder="1" applyAlignment="1">
      <alignment horizontal="center"/>
    </xf>
  </cellXfs>
  <cellStyles count="2">
    <cellStyle name="Normal" xfId="0" builtinId="0"/>
    <cellStyle name="Percent" xfId="1" builtinId="5"/>
  </cellStyles>
  <dxfs count="21">
    <dxf>
      <font>
        <color theme="0"/>
      </font>
      <fill>
        <patternFill patternType="solid">
          <fgColor indexed="64"/>
          <bgColor rgb="FF324558"/>
        </patternFill>
      </fill>
      <border diagonalUp="0" diagonalDown="0">
        <left style="thin">
          <color rgb="FFD9D9D9"/>
        </left>
        <right style="thin">
          <color rgb="FFD9D9D9"/>
        </right>
        <top style="thin">
          <color rgb="FFD9D9D9"/>
        </top>
        <bottom style="thin">
          <color rgb="FFD9D9D9"/>
        </bottom>
        <vertical/>
        <horizontal/>
      </border>
    </dxf>
    <dxf>
      <font>
        <color theme="0"/>
      </font>
      <fill>
        <patternFill patternType="solid">
          <fgColor indexed="64"/>
          <bgColor rgb="FF324558"/>
        </patternFill>
      </fill>
      <border diagonalUp="0" diagonalDown="0">
        <left style="thin">
          <color rgb="FFD9D9D9"/>
        </left>
        <right style="thin">
          <color rgb="FFD9D9D9"/>
        </right>
        <top style="thin">
          <color rgb="FFD9D9D9"/>
        </top>
        <bottom style="thin">
          <color rgb="FFD9D9D9"/>
        </bottom>
        <vertical/>
        <horizontal/>
      </border>
    </dxf>
    <dxf>
      <font>
        <color theme="0"/>
      </font>
      <fill>
        <patternFill patternType="solid">
          <fgColor indexed="64"/>
          <bgColor rgb="FF324558"/>
        </patternFill>
      </fill>
      <border diagonalUp="0" diagonalDown="0">
        <left style="thin">
          <color rgb="FFD9D9D9"/>
        </left>
        <right style="thin">
          <color rgb="FFD9D9D9"/>
        </right>
        <top style="thin">
          <color rgb="FFD9D9D9"/>
        </top>
        <bottom style="thin">
          <color rgb="FFD9D9D9"/>
        </bottom>
        <vertical/>
        <horizontal/>
      </border>
    </dxf>
    <dxf>
      <font>
        <color theme="0"/>
      </font>
      <fill>
        <patternFill patternType="solid">
          <fgColor indexed="64"/>
          <bgColor rgb="FF324558"/>
        </patternFill>
      </fill>
      <border diagonalUp="0" diagonalDown="0">
        <left style="thin">
          <color rgb="FFD9D9D9"/>
        </left>
        <right style="thin">
          <color rgb="FFD9D9D9"/>
        </right>
        <top style="thin">
          <color rgb="FFD9D9D9"/>
        </top>
        <bottom style="thin">
          <color rgb="FFD9D9D9"/>
        </bottom>
        <vertical/>
        <horizontal/>
      </border>
    </dxf>
    <dxf>
      <font>
        <color theme="0"/>
      </font>
      <fill>
        <patternFill patternType="solid">
          <fgColor indexed="64"/>
          <bgColor rgb="FF324558"/>
        </patternFill>
      </fill>
      <border diagonalUp="0" diagonalDown="0">
        <left style="thin">
          <color rgb="FFD9D9D9"/>
        </left>
        <right style="thin">
          <color rgb="FFD9D9D9"/>
        </right>
        <top style="thin">
          <color rgb="FFD9D9D9"/>
        </top>
        <bottom style="thin">
          <color rgb="FFD9D9D9"/>
        </bottom>
        <vertical/>
        <horizontal/>
      </border>
    </dxf>
    <dxf>
      <font>
        <color theme="0"/>
      </font>
      <fill>
        <patternFill patternType="solid">
          <fgColor indexed="64"/>
          <bgColor rgb="FF324558"/>
        </patternFill>
      </fill>
      <border diagonalUp="0" diagonalDown="0">
        <left style="thin">
          <color rgb="FFD9D9D9"/>
        </left>
        <right style="thin">
          <color rgb="FFD9D9D9"/>
        </right>
        <top style="thin">
          <color rgb="FFD9D9D9"/>
        </top>
        <bottom style="thin">
          <color rgb="FFD9D9D9"/>
        </bottom>
        <vertical/>
        <horizontal/>
      </border>
    </dxf>
    <dxf>
      <font>
        <color theme="0"/>
      </font>
      <fill>
        <patternFill patternType="solid">
          <fgColor indexed="64"/>
          <bgColor rgb="FF324558"/>
        </patternFill>
      </fill>
      <border diagonalUp="0" diagonalDown="0">
        <left style="thin">
          <color rgb="FFD9D9D9"/>
        </left>
        <right style="thin">
          <color rgb="FFD9D9D9"/>
        </right>
        <top style="thin">
          <color rgb="FFD9D9D9"/>
        </top>
        <bottom style="thin">
          <color rgb="FFD9D9D9"/>
        </bottom>
        <vertical/>
        <horizontal/>
      </border>
    </dxf>
    <dxf>
      <font>
        <color theme="0"/>
      </font>
      <fill>
        <patternFill patternType="solid">
          <fgColor indexed="64"/>
          <bgColor rgb="FF324558"/>
        </patternFill>
      </fill>
      <border diagonalUp="0" diagonalDown="0">
        <left style="thin">
          <color rgb="FFD9D9D9"/>
        </left>
        <right style="thin">
          <color rgb="FFD9D9D9"/>
        </right>
        <top style="thin">
          <color rgb="FFD9D9D9"/>
        </top>
        <bottom style="thin">
          <color rgb="FFD9D9D9"/>
        </bottom>
        <vertical/>
        <horizontal/>
      </border>
    </dxf>
    <dxf>
      <font>
        <color theme="0"/>
      </font>
      <fill>
        <patternFill patternType="solid">
          <fgColor indexed="64"/>
          <bgColor rgb="FF324558"/>
        </patternFill>
      </fill>
      <border diagonalUp="0" diagonalDown="0">
        <left style="thin">
          <color rgb="FFD9D9D9"/>
        </left>
        <right style="thin">
          <color rgb="FFD9D9D9"/>
        </right>
        <top style="thin">
          <color rgb="FFD9D9D9"/>
        </top>
        <bottom style="thin">
          <color rgb="FFD9D9D9"/>
        </bottom>
        <vertical/>
        <horizontal/>
      </border>
    </dxf>
    <dxf>
      <font>
        <color theme="0"/>
      </font>
      <numFmt numFmtId="0" formatCode="General"/>
      <fill>
        <patternFill patternType="solid">
          <fgColor indexed="64"/>
          <bgColor rgb="FF324558"/>
        </patternFill>
      </fill>
      <border diagonalUp="0" diagonalDown="0">
        <left style="thin">
          <color rgb="FFD9D9D9"/>
        </left>
        <right style="thin">
          <color rgb="FFD9D9D9"/>
        </right>
        <top style="thin">
          <color rgb="FFD9D9D9"/>
        </top>
        <bottom style="thin">
          <color rgb="FFD9D9D9"/>
        </bottom>
        <vertical/>
        <horizontal/>
      </border>
    </dxf>
    <dxf>
      <font>
        <color theme="0"/>
      </font>
      <numFmt numFmtId="0" formatCode="General"/>
      <fill>
        <patternFill patternType="solid">
          <fgColor indexed="64"/>
          <bgColor rgb="FF324558"/>
        </patternFill>
      </fill>
      <border diagonalUp="0" diagonalDown="0">
        <left style="thin">
          <color rgb="FFD9D9D9"/>
        </left>
        <right style="thin">
          <color rgb="FFD9D9D9"/>
        </right>
        <top style="thin">
          <color rgb="FFD9D9D9"/>
        </top>
        <bottom style="thin">
          <color rgb="FFD9D9D9"/>
        </bottom>
        <vertical/>
        <horizontal/>
      </border>
    </dxf>
    <dxf>
      <font>
        <color theme="0"/>
      </font>
      <numFmt numFmtId="0" formatCode="General"/>
      <fill>
        <patternFill patternType="solid">
          <fgColor indexed="64"/>
          <bgColor rgb="FF324558"/>
        </patternFill>
      </fill>
      <border diagonalUp="0" diagonalDown="0">
        <left style="thin">
          <color rgb="FFD9D9D9"/>
        </left>
        <right style="thin">
          <color rgb="FFD9D9D9"/>
        </right>
        <top style="thin">
          <color rgb="FFD9D9D9"/>
        </top>
        <bottom style="thin">
          <color rgb="FFD9D9D9"/>
        </bottom>
        <vertical/>
        <horizontal/>
      </border>
    </dxf>
    <dxf>
      <font>
        <color theme="0"/>
      </font>
      <numFmt numFmtId="0" formatCode="General"/>
      <fill>
        <patternFill patternType="solid">
          <fgColor indexed="64"/>
          <bgColor rgb="FF324558"/>
        </patternFill>
      </fill>
      <border diagonalUp="0" diagonalDown="0">
        <left style="thin">
          <color rgb="FFD9D9D9"/>
        </left>
        <right style="thin">
          <color rgb="FFD9D9D9"/>
        </right>
        <top style="thin">
          <color rgb="FFD9D9D9"/>
        </top>
        <bottom style="thin">
          <color rgb="FFD9D9D9"/>
        </bottom>
        <vertical/>
        <horizontal/>
      </border>
    </dxf>
    <dxf>
      <font>
        <color theme="0"/>
      </font>
      <numFmt numFmtId="0" formatCode="General"/>
      <fill>
        <patternFill patternType="solid">
          <fgColor indexed="64"/>
          <bgColor rgb="FF324558"/>
        </patternFill>
      </fill>
      <border diagonalUp="0" diagonalDown="0">
        <left style="thin">
          <color rgb="FFD9D9D9"/>
        </left>
        <right style="thin">
          <color rgb="FFD9D9D9"/>
        </right>
        <top style="thin">
          <color rgb="FFD9D9D9"/>
        </top>
        <bottom style="thin">
          <color rgb="FFD9D9D9"/>
        </bottom>
        <vertical/>
        <horizontal/>
      </border>
    </dxf>
    <dxf>
      <font>
        <color theme="0"/>
      </font>
      <numFmt numFmtId="0" formatCode="General"/>
      <fill>
        <patternFill patternType="solid">
          <fgColor indexed="64"/>
          <bgColor rgb="FF324558"/>
        </patternFill>
      </fill>
      <border diagonalUp="0" diagonalDown="0">
        <left style="thin">
          <color rgb="FFD9D9D9"/>
        </left>
        <right style="thin">
          <color rgb="FFD9D9D9"/>
        </right>
        <top style="thin">
          <color rgb="FFD9D9D9"/>
        </top>
        <bottom style="thin">
          <color rgb="FFD9D9D9"/>
        </bottom>
        <vertical/>
        <horizontal/>
      </border>
    </dxf>
    <dxf>
      <font>
        <color theme="0"/>
      </font>
      <numFmt numFmtId="19" formatCode="m/d/yyyy"/>
      <fill>
        <patternFill patternType="solid">
          <fgColor indexed="64"/>
          <bgColor rgb="FF324558"/>
        </patternFill>
      </fill>
      <border diagonalUp="0" diagonalDown="0">
        <left style="thin">
          <color rgb="FFD9D9D9"/>
        </left>
        <right style="thin">
          <color rgb="FFD9D9D9"/>
        </right>
        <top style="thin">
          <color rgb="FFD9D9D9"/>
        </top>
        <bottom style="thin">
          <color rgb="FFD9D9D9"/>
        </bottom>
        <vertical/>
        <horizontal/>
      </border>
    </dxf>
    <dxf>
      <fill>
        <patternFill patternType="solid">
          <fgColor indexed="64"/>
          <bgColor rgb="FF212E3B"/>
        </patternFill>
      </fill>
    </dxf>
    <dxf>
      <border outline="0">
        <bottom style="thin">
          <color rgb="FFD9D9D9"/>
        </bottom>
      </border>
    </dxf>
    <dxf>
      <fill>
        <patternFill patternType="solid">
          <fgColor indexed="64"/>
          <bgColor rgb="FF273645"/>
        </patternFill>
      </fill>
      <border diagonalUp="0" diagonalDown="0" outline="0">
        <left style="thin">
          <color rgb="FFD9D9D9"/>
        </left>
        <right style="thin">
          <color rgb="FFD9D9D9"/>
        </right>
        <top/>
        <bottom/>
      </border>
    </dxf>
    <dxf>
      <font>
        <b/>
        <color theme="1"/>
      </font>
      <border>
        <bottom style="thin">
          <color theme="4"/>
        </bottom>
        <vertical/>
        <horizontal/>
      </border>
    </dxf>
    <dxf>
      <font>
        <color theme="1"/>
      </font>
      <fill>
        <patternFill>
          <bgColor rgb="FF050B29"/>
        </patternFill>
      </fill>
      <border diagonalUp="0" diagonalDown="0">
        <left/>
        <right/>
        <top/>
        <bottom/>
        <vertical/>
        <horizontal/>
      </border>
    </dxf>
  </dxfs>
  <tableStyles count="1" defaultTableStyle="TableStyleMedium2" defaultPivotStyle="PivotStyleLight16">
    <tableStyle name="SlicerStyleLight1 2" pivot="0" table="0" count="10" xr9:uid="{3494DE08-3AD8-4202-99CA-533D69ACA716}">
      <tableStyleElement type="wholeTable" dxfId="20"/>
      <tableStyleElement type="headerRow" dxfId="19"/>
    </tableStyle>
  </tableStyles>
  <colors>
    <mruColors>
      <color rgb="FF24F6F7"/>
      <color rgb="FFFFC409"/>
      <color rgb="FF212E3B"/>
      <color rgb="FFDCDDE8"/>
      <color rgb="FF339EEF"/>
      <color rgb="FFB450F4"/>
      <color rgb="FFBEBFD4"/>
      <color rgb="FF0E133F"/>
      <color rgb="FF8F72FF"/>
      <color rgb="FF3399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rgb="FF000000"/>
          </font>
          <fill>
            <gradientFill degree="90">
              <stop position="0">
                <color rgb="FF9B73FE"/>
              </stop>
              <stop position="1">
                <color rgb="FFC3ACF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rgb="FFC3ACFE"/>
          </font>
          <fill>
            <patternFill patternType="solid">
              <fgColor rgb="FFFFFFFF"/>
              <bgColor rgb="FF170E33"/>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 b="0" i="0" u="none" strike="noStrike" kern="1200" spc="0" baseline="0">
                <a:solidFill>
                  <a:schemeClr val="tx1">
                    <a:lumMod val="65000"/>
                    <a:lumOff val="35000"/>
                  </a:schemeClr>
                </a:solidFill>
                <a:latin typeface="+mn-lt"/>
                <a:ea typeface="+mn-ea"/>
                <a:cs typeface="+mn-cs"/>
              </a:defRPr>
            </a:pPr>
            <a:r>
              <a:rPr lang="en-US" sz="100"/>
              <a:t> </a:t>
            </a:r>
          </a:p>
        </c:rich>
      </c:tx>
      <c:overlay val="0"/>
      <c:spPr>
        <a:noFill/>
        <a:ln>
          <a:noFill/>
        </a:ln>
        <a:effectLst/>
      </c:spPr>
      <c:txPr>
        <a:bodyPr rot="0" spcFirstLastPara="1" vertOverflow="ellipsis" vert="horz" wrap="square" anchor="ctr" anchorCtr="1"/>
        <a:lstStyle/>
        <a:p>
          <a:pPr>
            <a:defRPr sz="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tx>
            <c:strRef>
              <c:f>Processing!$B$10</c:f>
              <c:strCache>
                <c:ptCount val="1"/>
                <c:pt idx="0">
                  <c:v>Revenue</c:v>
                </c:pt>
              </c:strCache>
            </c:strRef>
          </c:tx>
          <c:spPr>
            <a:gradFill>
              <a:gsLst>
                <a:gs pos="0">
                  <a:srgbClr val="4C61AF"/>
                </a:gs>
                <a:gs pos="100000">
                  <a:srgbClr val="242F4D">
                    <a:alpha val="20000"/>
                  </a:srgbClr>
                </a:gs>
              </a:gsLst>
              <a:lin ang="5400000" scaled="1"/>
            </a:gradFill>
            <a:ln>
              <a:noFill/>
            </a:ln>
            <a:effectLst/>
          </c:spPr>
          <c:cat>
            <c:strRef>
              <c:f>Processing!$A$11:$A$22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Processing!$B$11:$B$22</c:f>
              <c:numCache>
                <c:formatCode>[&gt;=1000000]0.0,,"M";[&gt;=1000]0,"K";0.00</c:formatCode>
                <c:ptCount val="12"/>
                <c:pt idx="0">
                  <c:v>1201288.6099999999</c:v>
                </c:pt>
                <c:pt idx="1">
                  <c:v>1270928.04</c:v>
                </c:pt>
                <c:pt idx="2">
                  <c:v>1234813.8799999999</c:v>
                </c:pt>
                <c:pt idx="3">
                  <c:v>1270451.23</c:v>
                </c:pt>
                <c:pt idx="4">
                  <c:v>1590982.51</c:v>
                </c:pt>
                <c:pt idx="5">
                  <c:v>1443615.8499999999</c:v>
                </c:pt>
                <c:pt idx="6">
                  <c:v>1714874.95</c:v>
                </c:pt>
                <c:pt idx="7">
                  <c:v>1861950.67</c:v>
                </c:pt>
                <c:pt idx="8">
                  <c:v>2287855.1799999997</c:v>
                </c:pt>
                <c:pt idx="9">
                  <c:v>2190555.2400000002</c:v>
                </c:pt>
                <c:pt idx="10">
                  <c:v>2094258.24</c:v>
                </c:pt>
                <c:pt idx="11">
                  <c:v>1951883.81</c:v>
                </c:pt>
              </c:numCache>
            </c:numRef>
          </c:val>
          <c:extLst>
            <c:ext xmlns:c16="http://schemas.microsoft.com/office/drawing/2014/chart" uri="{C3380CC4-5D6E-409C-BE32-E72D297353CC}">
              <c16:uniqueId val="{00000000-2E9E-4070-B50E-C9663B3B2DA5}"/>
            </c:ext>
          </c:extLst>
        </c:ser>
        <c:ser>
          <c:idx val="5"/>
          <c:order val="5"/>
          <c:tx>
            <c:v>fill P</c:v>
          </c:tx>
          <c:spPr>
            <a:gradFill>
              <a:gsLst>
                <a:gs pos="0">
                  <a:srgbClr val="335F95"/>
                </a:gs>
                <a:gs pos="100000">
                  <a:srgbClr val="242F4D">
                    <a:alpha val="20000"/>
                  </a:srgbClr>
                </a:gs>
              </a:gsLst>
              <a:lin ang="5400000" scaled="1"/>
            </a:gradFill>
            <a:ln w="25400">
              <a:noFill/>
            </a:ln>
            <a:effectLst/>
          </c:spPr>
          <c:val>
            <c:numRef>
              <c:f>Processing!$D$11:$D$22</c:f>
              <c:numCache>
                <c:formatCode>[&gt;=1000000]0.0,,"M";[&gt;=1000]0,"K";0.00</c:formatCode>
                <c:ptCount val="12"/>
                <c:pt idx="0">
                  <c:v>589125</c:v>
                </c:pt>
                <c:pt idx="1">
                  <c:v>720000</c:v>
                </c:pt>
                <c:pt idx="2">
                  <c:v>779250</c:v>
                </c:pt>
                <c:pt idx="3">
                  <c:v>902383.31</c:v>
                </c:pt>
                <c:pt idx="4">
                  <c:v>1070748.33</c:v>
                </c:pt>
                <c:pt idx="5">
                  <c:v>965588.26</c:v>
                </c:pt>
                <c:pt idx="6">
                  <c:v>1290750</c:v>
                </c:pt>
                <c:pt idx="7">
                  <c:v>1308973.2</c:v>
                </c:pt>
                <c:pt idx="8">
                  <c:v>1233473</c:v>
                </c:pt>
                <c:pt idx="9">
                  <c:v>1343467.97</c:v>
                </c:pt>
                <c:pt idx="10">
                  <c:v>1428955.36</c:v>
                </c:pt>
                <c:pt idx="11">
                  <c:v>1831795.7000000002</c:v>
                </c:pt>
              </c:numCache>
            </c:numRef>
          </c:val>
          <c:extLst>
            <c:ext xmlns:c16="http://schemas.microsoft.com/office/drawing/2014/chart" uri="{C3380CC4-5D6E-409C-BE32-E72D297353CC}">
              <c16:uniqueId val="{00000001-2E9E-4070-B50E-C9663B3B2DA5}"/>
            </c:ext>
          </c:extLst>
        </c:ser>
        <c:dLbls>
          <c:showLegendKey val="0"/>
          <c:showVal val="0"/>
          <c:showCatName val="0"/>
          <c:showSerName val="0"/>
          <c:showPercent val="0"/>
          <c:showBubbleSize val="0"/>
        </c:dLbls>
        <c:axId val="132176464"/>
        <c:axId val="132181264"/>
      </c:areaChart>
      <c:barChart>
        <c:barDir val="col"/>
        <c:grouping val="clustered"/>
        <c:varyColors val="0"/>
        <c:dLbls>
          <c:showLegendKey val="0"/>
          <c:showVal val="0"/>
          <c:showCatName val="0"/>
          <c:showSerName val="0"/>
          <c:showPercent val="0"/>
          <c:showBubbleSize val="0"/>
        </c:dLbls>
        <c:gapWidth val="18"/>
        <c:axId val="132176464"/>
        <c:axId val="132181264"/>
        <c:extLst>
          <c:ext xmlns:c15="http://schemas.microsoft.com/office/drawing/2012/chart" uri="{02D57815-91ED-43cb-92C2-25804820EDAC}">
            <c15:filteredBarSeries>
              <c15:ser>
                <c:idx val="2"/>
                <c:order val="2"/>
                <c:tx>
                  <c:strRef>
                    <c:extLst>
                      <c:ext uri="{02D57815-91ED-43cb-92C2-25804820EDAC}">
                        <c15:formulaRef>
                          <c15:sqref>Processing!$E$10</c15:sqref>
                        </c15:formulaRef>
                      </c:ext>
                    </c:extLst>
                    <c:strCache>
                      <c:ptCount val="1"/>
                      <c:pt idx="0">
                        <c:v>Label</c:v>
                      </c:pt>
                    </c:strCache>
                  </c:strRef>
                </c:tx>
                <c:spPr>
                  <a:gradFill>
                    <a:gsLst>
                      <a:gs pos="25000">
                        <a:srgbClr val="9E78F9">
                          <a:alpha val="0"/>
                        </a:srgbClr>
                      </a:gs>
                      <a:gs pos="100000">
                        <a:srgbClr val="9E78F9">
                          <a:alpha val="70000"/>
                        </a:srgbClr>
                      </a:gs>
                      <a:gs pos="62000">
                        <a:srgbClr val="937EE2">
                          <a:alpha val="20000"/>
                        </a:srgbClr>
                      </a:gs>
                    </a:gsLst>
                    <a:lin ang="5400000" scaled="1"/>
                  </a:gradFill>
                  <a:ln>
                    <a:noFill/>
                  </a:ln>
                  <a:effectLst/>
                </c:spPr>
                <c:invertIfNegative val="0"/>
                <c:val>
                  <c:numRef>
                    <c:extLst>
                      <c:ext uri="{02D57815-91ED-43cb-92C2-25804820EDAC}">
                        <c15:formulaRef>
                          <c15:sqref>Processing!$E$11:$E$22</c15:sqref>
                        </c15:formulaRef>
                      </c:ext>
                    </c:extLst>
                    <c:numCache>
                      <c:formatCode>[&gt;=1000000]0.0,,"M";[&gt;=1000]0,"K";0.00</c:formatCode>
                      <c:ptCount val="12"/>
                      <c:pt idx="0">
                        <c:v>1315681.3689999999</c:v>
                      </c:pt>
                      <c:pt idx="1">
                        <c:v>1385320.7990000001</c:v>
                      </c:pt>
                      <c:pt idx="2">
                        <c:v>1349206.639</c:v>
                      </c:pt>
                      <c:pt idx="3">
                        <c:v>1384843.9890000001</c:v>
                      </c:pt>
                      <c:pt idx="4">
                        <c:v>1705375.2690000001</c:v>
                      </c:pt>
                      <c:pt idx="5">
                        <c:v>1558008.6089999999</c:v>
                      </c:pt>
                      <c:pt idx="6">
                        <c:v>1829267.709</c:v>
                      </c:pt>
                      <c:pt idx="7">
                        <c:v>1976343.429</c:v>
                      </c:pt>
                      <c:pt idx="8">
                        <c:v>2402247.9389999998</c:v>
                      </c:pt>
                      <c:pt idx="9">
                        <c:v>2304947.9990000003</c:v>
                      </c:pt>
                      <c:pt idx="10">
                        <c:v>2208650.9989999998</c:v>
                      </c:pt>
                      <c:pt idx="11">
                        <c:v>2066276.5690000001</c:v>
                      </c:pt>
                    </c:numCache>
                  </c:numRef>
                </c:val>
                <c:extLst>
                  <c:ext xmlns:c16="http://schemas.microsoft.com/office/drawing/2014/chart" uri="{C3380CC4-5D6E-409C-BE32-E72D297353CC}">
                    <c16:uniqueId val="{00000002-2E9E-4070-B50E-C9663B3B2DA5}"/>
                  </c:ext>
                </c:extLst>
              </c15:ser>
            </c15:filteredBarSeries>
          </c:ext>
        </c:extLst>
      </c:barChart>
      <c:lineChart>
        <c:grouping val="standard"/>
        <c:varyColors val="0"/>
        <c:ser>
          <c:idx val="1"/>
          <c:order val="1"/>
          <c:tx>
            <c:strRef>
              <c:f>Processing!$B$10</c:f>
              <c:strCache>
                <c:ptCount val="1"/>
                <c:pt idx="0">
                  <c:v>Revenue</c:v>
                </c:pt>
              </c:strCache>
            </c:strRef>
          </c:tx>
          <c:spPr>
            <a:ln w="19050" cap="rnd">
              <a:solidFill>
                <a:srgbClr val="8F72FF"/>
              </a:solidFill>
              <a:round/>
            </a:ln>
            <a:effectLst>
              <a:outerShdw blurRad="50800" dist="38100" dir="8100000" algn="tr" rotWithShape="0">
                <a:prstClr val="black">
                  <a:alpha val="40000"/>
                </a:prstClr>
              </a:outerShdw>
            </a:effectLst>
          </c:spPr>
          <c:marker>
            <c:symbol val="none"/>
          </c:marker>
          <c:cat>
            <c:strRef>
              <c:f>Processing!$A$11:$A$22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Processing!$B$11:$B$22</c:f>
              <c:numCache>
                <c:formatCode>[&gt;=1000000]0.0,,"M";[&gt;=1000]0,"K";0.00</c:formatCode>
                <c:ptCount val="12"/>
                <c:pt idx="0">
                  <c:v>1201288.6099999999</c:v>
                </c:pt>
                <c:pt idx="1">
                  <c:v>1270928.04</c:v>
                </c:pt>
                <c:pt idx="2">
                  <c:v>1234813.8799999999</c:v>
                </c:pt>
                <c:pt idx="3">
                  <c:v>1270451.23</c:v>
                </c:pt>
                <c:pt idx="4">
                  <c:v>1590982.51</c:v>
                </c:pt>
                <c:pt idx="5">
                  <c:v>1443615.8499999999</c:v>
                </c:pt>
                <c:pt idx="6">
                  <c:v>1714874.95</c:v>
                </c:pt>
                <c:pt idx="7">
                  <c:v>1861950.67</c:v>
                </c:pt>
                <c:pt idx="8">
                  <c:v>2287855.1799999997</c:v>
                </c:pt>
                <c:pt idx="9">
                  <c:v>2190555.2400000002</c:v>
                </c:pt>
                <c:pt idx="10">
                  <c:v>2094258.24</c:v>
                </c:pt>
                <c:pt idx="11">
                  <c:v>1951883.81</c:v>
                </c:pt>
              </c:numCache>
            </c:numRef>
          </c:val>
          <c:smooth val="0"/>
          <c:extLst>
            <c:ext xmlns:c16="http://schemas.microsoft.com/office/drawing/2014/chart" uri="{C3380CC4-5D6E-409C-BE32-E72D297353CC}">
              <c16:uniqueId val="{00000003-2E9E-4070-B50E-C9663B3B2DA5}"/>
            </c:ext>
          </c:extLst>
        </c:ser>
        <c:ser>
          <c:idx val="4"/>
          <c:order val="4"/>
          <c:tx>
            <c:strRef>
              <c:f>Processing!$D$10</c:f>
              <c:strCache>
                <c:ptCount val="1"/>
                <c:pt idx="0">
                  <c:v>Previous</c:v>
                </c:pt>
              </c:strCache>
            </c:strRef>
          </c:tx>
          <c:spPr>
            <a:ln w="19050" cap="rnd">
              <a:solidFill>
                <a:srgbClr val="3399FF"/>
              </a:solidFill>
              <a:round/>
            </a:ln>
            <a:effectLst>
              <a:outerShdw blurRad="50800" dist="38100" dir="8100000" algn="tr" rotWithShape="0">
                <a:prstClr val="black">
                  <a:alpha val="40000"/>
                </a:prstClr>
              </a:outerShdw>
            </a:effectLst>
          </c:spPr>
          <c:marker>
            <c:symbol val="none"/>
          </c:marker>
          <c:val>
            <c:numRef>
              <c:f>Processing!$D$11:$D$22</c:f>
              <c:numCache>
                <c:formatCode>[&gt;=1000000]0.0,,"M";[&gt;=1000]0,"K";0.00</c:formatCode>
                <c:ptCount val="12"/>
                <c:pt idx="0">
                  <c:v>589125</c:v>
                </c:pt>
                <c:pt idx="1">
                  <c:v>720000</c:v>
                </c:pt>
                <c:pt idx="2">
                  <c:v>779250</c:v>
                </c:pt>
                <c:pt idx="3">
                  <c:v>902383.31</c:v>
                </c:pt>
                <c:pt idx="4">
                  <c:v>1070748.33</c:v>
                </c:pt>
                <c:pt idx="5">
                  <c:v>965588.26</c:v>
                </c:pt>
                <c:pt idx="6">
                  <c:v>1290750</c:v>
                </c:pt>
                <c:pt idx="7">
                  <c:v>1308973.2</c:v>
                </c:pt>
                <c:pt idx="8">
                  <c:v>1233473</c:v>
                </c:pt>
                <c:pt idx="9">
                  <c:v>1343467.97</c:v>
                </c:pt>
                <c:pt idx="10">
                  <c:v>1428955.36</c:v>
                </c:pt>
                <c:pt idx="11">
                  <c:v>1831795.7000000002</c:v>
                </c:pt>
              </c:numCache>
            </c:numRef>
          </c:val>
          <c:smooth val="0"/>
          <c:extLst>
            <c:ext xmlns:c16="http://schemas.microsoft.com/office/drawing/2014/chart" uri="{C3380CC4-5D6E-409C-BE32-E72D297353CC}">
              <c16:uniqueId val="{00000004-2E9E-4070-B50E-C9663B3B2DA5}"/>
            </c:ext>
          </c:extLst>
        </c:ser>
        <c:dLbls>
          <c:showLegendKey val="0"/>
          <c:showVal val="0"/>
          <c:showCatName val="0"/>
          <c:showSerName val="0"/>
          <c:showPercent val="0"/>
          <c:showBubbleSize val="0"/>
        </c:dLbls>
        <c:marker val="1"/>
        <c:smooth val="0"/>
        <c:axId val="132176464"/>
        <c:axId val="132181264"/>
      </c:lineChart>
      <c:scatterChart>
        <c:scatterStyle val="lineMarker"/>
        <c:varyColors val="0"/>
        <c:ser>
          <c:idx val="3"/>
          <c:order val="3"/>
          <c:tx>
            <c:strRef>
              <c:f>Processing!$C$10</c:f>
              <c:strCache>
                <c:ptCount val="1"/>
                <c:pt idx="0">
                  <c:v>Cursor R</c:v>
                </c:pt>
              </c:strCache>
            </c:strRef>
          </c:tx>
          <c:spPr>
            <a:ln w="25400" cap="rnd">
              <a:noFill/>
              <a:round/>
            </a:ln>
            <a:effectLst>
              <a:outerShdw blurRad="50800" dist="38100" dir="8100000" algn="tr" rotWithShape="0">
                <a:prstClr val="black">
                  <a:alpha val="40000"/>
                </a:prstClr>
              </a:outerShdw>
              <a:softEdge rad="38100"/>
            </a:effectLst>
          </c:spPr>
          <c:marker>
            <c:symbol val="circle"/>
            <c:size val="12"/>
            <c:spPr>
              <a:solidFill>
                <a:srgbClr val="8F72FF">
                  <a:alpha val="58000"/>
                </a:srgbClr>
              </a:solidFill>
              <a:ln w="9525">
                <a:solidFill>
                  <a:srgbClr val="B79DF6"/>
                </a:solidFill>
              </a:ln>
              <a:effectLst>
                <a:outerShdw blurRad="50800" dist="38100" dir="8100000" algn="tr" rotWithShape="0">
                  <a:prstClr val="black">
                    <a:alpha val="40000"/>
                  </a:prstClr>
                </a:outerShdw>
                <a:softEdge rad="38100"/>
              </a:effectLst>
            </c:spPr>
          </c:marker>
          <c:yVal>
            <c:numRef>
              <c:f>Processing!$C$11:$C$22</c:f>
              <c:numCache>
                <c:formatCode>[&gt;=1000000]0.0,,"M";[&gt;=1000]0,"K";0.00</c:formatCode>
                <c:ptCount val="12"/>
                <c:pt idx="0">
                  <c:v>1201288.6099999999</c:v>
                </c:pt>
                <c:pt idx="1">
                  <c:v>1270928.04</c:v>
                </c:pt>
                <c:pt idx="2">
                  <c:v>1234813.8799999999</c:v>
                </c:pt>
                <c:pt idx="3">
                  <c:v>1270451.23</c:v>
                </c:pt>
                <c:pt idx="4">
                  <c:v>1590982.51</c:v>
                </c:pt>
                <c:pt idx="5">
                  <c:v>1443615.8499999999</c:v>
                </c:pt>
                <c:pt idx="6">
                  <c:v>1714874.95</c:v>
                </c:pt>
                <c:pt idx="7">
                  <c:v>1861950.67</c:v>
                </c:pt>
                <c:pt idx="8">
                  <c:v>2287855.1799999997</c:v>
                </c:pt>
                <c:pt idx="9">
                  <c:v>2190555.2400000002</c:v>
                </c:pt>
                <c:pt idx="10">
                  <c:v>2094258.24</c:v>
                </c:pt>
                <c:pt idx="11">
                  <c:v>1951883.81</c:v>
                </c:pt>
              </c:numCache>
            </c:numRef>
          </c:yVal>
          <c:smooth val="0"/>
          <c:extLst>
            <c:ext xmlns:c16="http://schemas.microsoft.com/office/drawing/2014/chart" uri="{C3380CC4-5D6E-409C-BE32-E72D297353CC}">
              <c16:uniqueId val="{00000005-2E9E-4070-B50E-C9663B3B2DA5}"/>
            </c:ext>
          </c:extLst>
        </c:ser>
        <c:ser>
          <c:idx val="6"/>
          <c:order val="6"/>
          <c:tx>
            <c:v>Cursor R2</c:v>
          </c:tx>
          <c:spPr>
            <a:ln w="25400" cap="rnd">
              <a:noFill/>
              <a:round/>
            </a:ln>
            <a:effectLst>
              <a:glow rad="101600">
                <a:srgbClr val="EBEEF2">
                  <a:alpha val="40000"/>
                </a:srgbClr>
              </a:glow>
            </a:effectLst>
          </c:spPr>
          <c:marker>
            <c:symbol val="circle"/>
            <c:size val="4"/>
            <c:spPr>
              <a:solidFill>
                <a:schemeClr val="bg1"/>
              </a:solidFill>
              <a:ln w="9525">
                <a:noFill/>
              </a:ln>
              <a:effectLst>
                <a:glow rad="101600">
                  <a:srgbClr val="EBEEF2">
                    <a:alpha val="40000"/>
                  </a:srgb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0"/>
            <c:plus>
              <c:numLit>
                <c:formatCode>General</c:formatCode>
                <c:ptCount val="1"/>
                <c:pt idx="0">
                  <c:v>1</c:v>
                </c:pt>
              </c:numLit>
            </c:plus>
            <c:minus>
              <c:numRef>
                <c:f>Processing!$C$11:$C$22</c:f>
                <c:numCache>
                  <c:formatCode>General</c:formatCode>
                  <c:ptCount val="12"/>
                  <c:pt idx="0">
                    <c:v>1201288.6099999999</c:v>
                  </c:pt>
                  <c:pt idx="1">
                    <c:v>1270928.04</c:v>
                  </c:pt>
                  <c:pt idx="2">
                    <c:v>1234813.8799999999</c:v>
                  </c:pt>
                  <c:pt idx="3">
                    <c:v>1270451.23</c:v>
                  </c:pt>
                  <c:pt idx="4">
                    <c:v>1590982.51</c:v>
                  </c:pt>
                  <c:pt idx="5">
                    <c:v>1443615.8499999999</c:v>
                  </c:pt>
                  <c:pt idx="6">
                    <c:v>1714874.95</c:v>
                  </c:pt>
                  <c:pt idx="7">
                    <c:v>1861950.67</c:v>
                  </c:pt>
                  <c:pt idx="8">
                    <c:v>2287855.1799999997</c:v>
                  </c:pt>
                  <c:pt idx="9">
                    <c:v>2190555.2400000002</c:v>
                  </c:pt>
                  <c:pt idx="10">
                    <c:v>2094258.24</c:v>
                  </c:pt>
                  <c:pt idx="11">
                    <c:v>1951883.81</c:v>
                  </c:pt>
                </c:numCache>
              </c:numRef>
            </c:minus>
            <c:spPr>
              <a:noFill/>
              <a:ln w="9525" cap="flat" cmpd="sng" algn="ctr">
                <a:gradFill>
                  <a:gsLst>
                    <a:gs pos="0">
                      <a:schemeClr val="accent1">
                        <a:lumMod val="5000"/>
                        <a:lumOff val="95000"/>
                        <a:alpha val="84000"/>
                      </a:schemeClr>
                    </a:gs>
                    <a:gs pos="65000">
                      <a:schemeClr val="accent1">
                        <a:lumMod val="30000"/>
                        <a:lumOff val="70000"/>
                        <a:alpha val="0"/>
                      </a:schemeClr>
                    </a:gs>
                  </a:gsLst>
                  <a:lin ang="5400000" scaled="1"/>
                </a:gradFill>
                <a:prstDash val="solid"/>
                <a:round/>
              </a:ln>
              <a:effectLst>
                <a:outerShdw blurRad="50800" dist="38100" dir="8100000" algn="tr" rotWithShape="0">
                  <a:prstClr val="black">
                    <a:alpha val="40000"/>
                  </a:prstClr>
                </a:outerShdw>
              </a:effectLst>
            </c:spPr>
          </c:errBars>
          <c:yVal>
            <c:numRef>
              <c:f>Processing!$C$11:$C$22</c:f>
              <c:numCache>
                <c:formatCode>[&gt;=1000000]0.0,,"M";[&gt;=1000]0,"K";0.00</c:formatCode>
                <c:ptCount val="12"/>
                <c:pt idx="0">
                  <c:v>1201288.6099999999</c:v>
                </c:pt>
                <c:pt idx="1">
                  <c:v>1270928.04</c:v>
                </c:pt>
                <c:pt idx="2">
                  <c:v>1234813.8799999999</c:v>
                </c:pt>
                <c:pt idx="3">
                  <c:v>1270451.23</c:v>
                </c:pt>
                <c:pt idx="4">
                  <c:v>1590982.51</c:v>
                </c:pt>
                <c:pt idx="5">
                  <c:v>1443615.8499999999</c:v>
                </c:pt>
                <c:pt idx="6">
                  <c:v>1714874.95</c:v>
                </c:pt>
                <c:pt idx="7">
                  <c:v>1861950.67</c:v>
                </c:pt>
                <c:pt idx="8">
                  <c:v>2287855.1799999997</c:v>
                </c:pt>
                <c:pt idx="9">
                  <c:v>2190555.2400000002</c:v>
                </c:pt>
                <c:pt idx="10">
                  <c:v>2094258.24</c:v>
                </c:pt>
                <c:pt idx="11">
                  <c:v>1951883.81</c:v>
                </c:pt>
              </c:numCache>
            </c:numRef>
          </c:yVal>
          <c:smooth val="0"/>
          <c:extLst>
            <c:ext xmlns:c16="http://schemas.microsoft.com/office/drawing/2014/chart" uri="{C3380CC4-5D6E-409C-BE32-E72D297353CC}">
              <c16:uniqueId val="{00000006-2E9E-4070-B50E-C9663B3B2DA5}"/>
            </c:ext>
          </c:extLst>
        </c:ser>
        <c:dLbls>
          <c:showLegendKey val="0"/>
          <c:showVal val="0"/>
          <c:showCatName val="0"/>
          <c:showSerName val="0"/>
          <c:showPercent val="0"/>
          <c:showBubbleSize val="0"/>
        </c:dLbls>
        <c:axId val="132176464"/>
        <c:axId val="132181264"/>
      </c:scatterChart>
      <c:catAx>
        <c:axId val="132176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81264"/>
        <c:crosses val="autoZero"/>
        <c:auto val="1"/>
        <c:lblAlgn val="ctr"/>
        <c:lblOffset val="100"/>
        <c:noMultiLvlLbl val="0"/>
      </c:catAx>
      <c:valAx>
        <c:axId val="132181264"/>
        <c:scaling>
          <c:orientation val="minMax"/>
          <c:min val="0"/>
        </c:scaling>
        <c:delete val="0"/>
        <c:axPos val="l"/>
        <c:majorGridlines>
          <c:spPr>
            <a:ln w="9525" cap="flat" cmpd="sng" algn="ctr">
              <a:solidFill>
                <a:srgbClr val="3399FF">
                  <a:alpha val="7000"/>
                </a:srgbClr>
              </a:solidFill>
              <a:round/>
            </a:ln>
            <a:effectLst/>
          </c:spPr>
        </c:majorGridlines>
        <c:numFmt formatCode="[&gt;=1000000]0.0,,&quot;M&quot;;[&gt;=1000]0,&quot;K&quot;;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6FB3F1"/>
                </a:solidFill>
                <a:latin typeface="+mn-lt"/>
                <a:ea typeface="+mn-ea"/>
                <a:cs typeface="+mn-cs"/>
              </a:defRPr>
            </a:pPr>
            <a:endParaRPr lang="en-US"/>
          </a:p>
        </c:txPr>
        <c:crossAx val="132176464"/>
        <c:crossesAt val="1"/>
        <c:crossBetween val="between"/>
      </c:valAx>
      <c:spPr>
        <a:gradFill>
          <a:gsLst>
            <a:gs pos="0">
              <a:srgbClr val="171952">
                <a:alpha val="7000"/>
              </a:srgbClr>
            </a:gs>
            <a:gs pos="64000">
              <a:srgbClr val="050B29">
                <a:alpha val="31000"/>
              </a:srgbClr>
            </a:gs>
          </a:gsLst>
          <a:path path="circle">
            <a:fillToRect l="100000" b="100000"/>
          </a:path>
        </a:gradFill>
        <a:ln>
          <a:noFill/>
        </a:ln>
        <a:effectLst/>
      </c:spPr>
    </c:plotArea>
    <c:plotVisOnly val="1"/>
    <c:dispBlanksAs val="span"/>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 b="0" i="0" u="none" strike="noStrike" kern="1200" spc="0" baseline="0">
                <a:solidFill>
                  <a:schemeClr val="tx1">
                    <a:lumMod val="65000"/>
                    <a:lumOff val="35000"/>
                  </a:schemeClr>
                </a:solidFill>
                <a:latin typeface="+mn-lt"/>
                <a:ea typeface="+mn-ea"/>
                <a:cs typeface="+mn-cs"/>
              </a:defRPr>
            </a:pPr>
            <a:r>
              <a:rPr lang="en-US" sz="100"/>
              <a:t> </a:t>
            </a:r>
          </a:p>
        </c:rich>
      </c:tx>
      <c:overlay val="0"/>
      <c:spPr>
        <a:noFill/>
        <a:ln>
          <a:noFill/>
        </a:ln>
        <a:effectLst/>
      </c:spPr>
      <c:txPr>
        <a:bodyPr rot="0" spcFirstLastPara="1" vertOverflow="ellipsis" vert="horz" wrap="square" anchor="ctr" anchorCtr="1"/>
        <a:lstStyle/>
        <a:p>
          <a:pPr>
            <a:defRPr sz="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1"/>
          <c:order val="0"/>
          <c:spPr>
            <a:noFill/>
            <a:ln>
              <a:noFill/>
            </a:ln>
            <a:effectLst/>
          </c:spPr>
          <c:invertIfNegative val="0"/>
          <c:val>
            <c:numRef>
              <c:f>Processing!$D$28:$D$31</c:f>
              <c:numCache>
                <c:formatCode>[&gt;=1000000]0.0,,"M";[&gt;=1000]0,"K";0.00</c:formatCode>
                <c:ptCount val="4"/>
                <c:pt idx="0">
                  <c:v>710062.65350000001</c:v>
                </c:pt>
                <c:pt idx="1">
                  <c:v>710062.65350000001</c:v>
                </c:pt>
                <c:pt idx="2">
                  <c:v>710062.65350000001</c:v>
                </c:pt>
                <c:pt idx="3">
                  <c:v>710062.65350000001</c:v>
                </c:pt>
              </c:numCache>
            </c:numRef>
          </c:val>
          <c:extLst>
            <c:ext xmlns:c16="http://schemas.microsoft.com/office/drawing/2014/chart" uri="{C3380CC4-5D6E-409C-BE32-E72D297353CC}">
              <c16:uniqueId val="{00000000-425B-4140-A382-6251EFFD2922}"/>
            </c:ext>
          </c:extLst>
        </c:ser>
        <c:ser>
          <c:idx val="0"/>
          <c:order val="1"/>
          <c:spPr>
            <a:noFill/>
            <a:ln>
              <a:noFill/>
            </a:ln>
            <a:effectLst/>
          </c:spPr>
          <c:invertIfNegative val="0"/>
          <c:cat>
            <c:strRef>
              <c:f>Processing!$A$28:$A$31</c:f>
              <c:strCache>
                <c:ptCount val="4"/>
                <c:pt idx="0">
                  <c:v>Direct Mail</c:v>
                </c:pt>
                <c:pt idx="1">
                  <c:v>Social Media</c:v>
                </c:pt>
                <c:pt idx="2">
                  <c:v>Search Engine</c:v>
                </c:pt>
                <c:pt idx="3">
                  <c:v>Email</c:v>
                </c:pt>
              </c:strCache>
            </c:strRef>
          </c:cat>
          <c:val>
            <c:numRef>
              <c:f>Processing!$B$28:$B$31</c:f>
              <c:numCache>
                <c:formatCode>[&gt;=1000000]0.0,,"M";[&gt;=1000]0,"K";0.00</c:formatCode>
                <c:ptCount val="4"/>
                <c:pt idx="0">
                  <c:v>4917146.66</c:v>
                </c:pt>
                <c:pt idx="1">
                  <c:v>6936289.5699999994</c:v>
                </c:pt>
                <c:pt idx="2">
                  <c:v>7523279.0399999991</c:v>
                </c:pt>
                <c:pt idx="3">
                  <c:v>14201253.07</c:v>
                </c:pt>
              </c:numCache>
            </c:numRef>
          </c:val>
          <c:extLst>
            <c:ext xmlns:c16="http://schemas.microsoft.com/office/drawing/2014/chart" uri="{C3380CC4-5D6E-409C-BE32-E72D297353CC}">
              <c16:uniqueId val="{00000001-425B-4140-A382-6251EFFD2922}"/>
            </c:ext>
          </c:extLst>
        </c:ser>
        <c:ser>
          <c:idx val="2"/>
          <c:order val="2"/>
          <c:spPr>
            <a:noFill/>
            <a:ln>
              <a:noFill/>
            </a:ln>
            <a:effectLst/>
          </c:spPr>
          <c:invertIfNegative val="0"/>
          <c:val>
            <c:numRef>
              <c:f>Processing!$D$28:$D$31</c:f>
              <c:numCache>
                <c:formatCode>[&gt;=1000000]0.0,,"M";[&gt;=1000]0,"K";0.00</c:formatCode>
                <c:ptCount val="4"/>
                <c:pt idx="0">
                  <c:v>710062.65350000001</c:v>
                </c:pt>
                <c:pt idx="1">
                  <c:v>710062.65350000001</c:v>
                </c:pt>
                <c:pt idx="2">
                  <c:v>710062.65350000001</c:v>
                </c:pt>
                <c:pt idx="3">
                  <c:v>710062.65350000001</c:v>
                </c:pt>
              </c:numCache>
            </c:numRef>
          </c:val>
          <c:extLst>
            <c:ext xmlns:c16="http://schemas.microsoft.com/office/drawing/2014/chart" uri="{C3380CC4-5D6E-409C-BE32-E72D297353CC}">
              <c16:uniqueId val="{00000002-425B-4140-A382-6251EFFD2922}"/>
            </c:ext>
          </c:extLst>
        </c:ser>
        <c:dLbls>
          <c:showLegendKey val="0"/>
          <c:showVal val="0"/>
          <c:showCatName val="0"/>
          <c:showSerName val="0"/>
          <c:showPercent val="0"/>
          <c:showBubbleSize val="0"/>
        </c:dLbls>
        <c:gapWidth val="182"/>
        <c:overlap val="100"/>
        <c:axId val="1077212144"/>
        <c:axId val="1077233744"/>
      </c:barChart>
      <c:catAx>
        <c:axId val="107721214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77233744"/>
        <c:crosses val="autoZero"/>
        <c:auto val="1"/>
        <c:lblAlgn val="ctr"/>
        <c:lblOffset val="100"/>
        <c:noMultiLvlLbl val="0"/>
      </c:catAx>
      <c:valAx>
        <c:axId val="1077233744"/>
        <c:scaling>
          <c:orientation val="minMax"/>
        </c:scaling>
        <c:delete val="1"/>
        <c:axPos val="b"/>
        <c:numFmt formatCode="[&gt;=1000000]0.0,,&quot;M&quot;;[&gt;=1000]0,&quot;K&quot;;0.00" sourceLinked="1"/>
        <c:majorTickMark val="none"/>
        <c:minorTickMark val="none"/>
        <c:tickLblPos val="nextTo"/>
        <c:crossAx val="1077212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 b="0" i="0" u="none" strike="noStrike" kern="1200" spc="0" baseline="0">
                <a:solidFill>
                  <a:schemeClr val="tx1">
                    <a:lumMod val="65000"/>
                    <a:lumOff val="35000"/>
                  </a:schemeClr>
                </a:solidFill>
                <a:latin typeface="+mn-lt"/>
                <a:ea typeface="+mn-ea"/>
                <a:cs typeface="+mn-cs"/>
              </a:defRPr>
            </a:pPr>
            <a:r>
              <a:rPr lang="en-US" sz="100"/>
              <a:t> </a:t>
            </a:r>
          </a:p>
        </c:rich>
      </c:tx>
      <c:overlay val="0"/>
      <c:spPr>
        <a:noFill/>
        <a:ln>
          <a:noFill/>
        </a:ln>
        <a:effectLst/>
      </c:spPr>
      <c:txPr>
        <a:bodyPr rot="0" spcFirstLastPara="1" vertOverflow="ellipsis" vert="horz" wrap="square" anchor="ctr" anchorCtr="1"/>
        <a:lstStyle/>
        <a:p>
          <a:pPr>
            <a:defRPr sz="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1"/>
          <c:order val="0"/>
          <c:spPr>
            <a:noFill/>
            <a:ln>
              <a:noFill/>
            </a:ln>
            <a:effectLst/>
          </c:spPr>
          <c:invertIfNegative val="0"/>
          <c:val>
            <c:numRef>
              <c:f>Processing!$D$28:$D$31</c:f>
              <c:numCache>
                <c:formatCode>[&gt;=1000000]0.0,,"M";[&gt;=1000]0,"K";0.00</c:formatCode>
                <c:ptCount val="4"/>
                <c:pt idx="0">
                  <c:v>710062.65350000001</c:v>
                </c:pt>
                <c:pt idx="1">
                  <c:v>710062.65350000001</c:v>
                </c:pt>
                <c:pt idx="2">
                  <c:v>710062.65350000001</c:v>
                </c:pt>
                <c:pt idx="3">
                  <c:v>710062.65350000001</c:v>
                </c:pt>
              </c:numCache>
            </c:numRef>
          </c:val>
          <c:extLst>
            <c:ext xmlns:c16="http://schemas.microsoft.com/office/drawing/2014/chart" uri="{C3380CC4-5D6E-409C-BE32-E72D297353CC}">
              <c16:uniqueId val="{00000000-63E9-4043-80DB-697C10F5D458}"/>
            </c:ext>
          </c:extLst>
        </c:ser>
        <c:ser>
          <c:idx val="0"/>
          <c:order val="1"/>
          <c:spPr>
            <a:gradFill flip="none" rotWithShape="1">
              <a:gsLst>
                <a:gs pos="0">
                  <a:srgbClr val="0098FF"/>
                </a:gs>
                <a:gs pos="73000">
                  <a:srgbClr val="A110ED"/>
                </a:gs>
              </a:gsLst>
              <a:path path="circle">
                <a:fillToRect l="100000" t="100000"/>
              </a:path>
              <a:tileRect r="-100000" b="-100000"/>
            </a:gradFill>
            <a:ln w="76200">
              <a:gradFill flip="none" rotWithShape="1">
                <a:gsLst>
                  <a:gs pos="0">
                    <a:srgbClr val="0098FF"/>
                  </a:gs>
                  <a:gs pos="73000">
                    <a:srgbClr val="A110ED"/>
                  </a:gs>
                </a:gsLst>
                <a:path path="circle">
                  <a:fillToRect l="100000" t="100000"/>
                </a:path>
                <a:tileRect r="-100000" b="-100000"/>
              </a:gradFill>
            </a:ln>
            <a:effectLst>
              <a:outerShdw blurRad="50800" dist="38100" dir="8100000" algn="tr" rotWithShape="0">
                <a:prstClr val="black">
                  <a:alpha val="40000"/>
                </a:prstClr>
              </a:outerShdw>
            </a:effectLst>
          </c:spPr>
          <c:invertIfNegative val="0"/>
          <c:cat>
            <c:strRef>
              <c:f>Processing!$A$28:$A$31</c:f>
              <c:strCache>
                <c:ptCount val="4"/>
                <c:pt idx="0">
                  <c:v>Direct Mail</c:v>
                </c:pt>
                <c:pt idx="1">
                  <c:v>Social Media</c:v>
                </c:pt>
                <c:pt idx="2">
                  <c:v>Search Engine</c:v>
                </c:pt>
                <c:pt idx="3">
                  <c:v>Email</c:v>
                </c:pt>
              </c:strCache>
            </c:strRef>
          </c:cat>
          <c:val>
            <c:numRef>
              <c:f>Processing!$B$28:$B$31</c:f>
              <c:numCache>
                <c:formatCode>[&gt;=1000000]0.0,,"M";[&gt;=1000]0,"K";0.00</c:formatCode>
                <c:ptCount val="4"/>
                <c:pt idx="0">
                  <c:v>4917146.66</c:v>
                </c:pt>
                <c:pt idx="1">
                  <c:v>6936289.5699999994</c:v>
                </c:pt>
                <c:pt idx="2">
                  <c:v>7523279.0399999991</c:v>
                </c:pt>
                <c:pt idx="3">
                  <c:v>14201253.07</c:v>
                </c:pt>
              </c:numCache>
            </c:numRef>
          </c:val>
          <c:extLst>
            <c:ext xmlns:c16="http://schemas.microsoft.com/office/drawing/2014/chart" uri="{C3380CC4-5D6E-409C-BE32-E72D297353CC}">
              <c16:uniqueId val="{00000001-63E9-4043-80DB-697C10F5D458}"/>
            </c:ext>
          </c:extLst>
        </c:ser>
        <c:ser>
          <c:idx val="2"/>
          <c:order val="2"/>
          <c:spPr>
            <a:noFill/>
            <a:ln>
              <a:noFill/>
            </a:ln>
            <a:effectLst/>
          </c:spPr>
          <c:invertIfNegative val="0"/>
          <c:dLbls>
            <c:dLbl>
              <c:idx val="0"/>
              <c:tx>
                <c:rich>
                  <a:bodyPr/>
                  <a:lstStyle/>
                  <a:p>
                    <a:fld id="{AC6EB990-D2E9-43AF-AB6E-3469D091622C}"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3E9-4043-80DB-697C10F5D458}"/>
                </c:ext>
              </c:extLst>
            </c:dLbl>
            <c:dLbl>
              <c:idx val="1"/>
              <c:tx>
                <c:rich>
                  <a:bodyPr/>
                  <a:lstStyle/>
                  <a:p>
                    <a:fld id="{48BD29C8-2EAD-45F1-BA48-53DEAE41C84E}"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3E9-4043-80DB-697C10F5D458}"/>
                </c:ext>
              </c:extLst>
            </c:dLbl>
            <c:dLbl>
              <c:idx val="2"/>
              <c:tx>
                <c:rich>
                  <a:bodyPr/>
                  <a:lstStyle/>
                  <a:p>
                    <a:fld id="{0018F4DC-FC69-47BD-925B-78C151D2B815}"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3E9-4043-80DB-697C10F5D458}"/>
                </c:ext>
              </c:extLst>
            </c:dLbl>
            <c:dLbl>
              <c:idx val="3"/>
              <c:tx>
                <c:rich>
                  <a:bodyPr/>
                  <a:lstStyle/>
                  <a:p>
                    <a:fld id="{5C82FAB8-1B5E-4783-85CC-E176E620C338}"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3E9-4043-80DB-697C10F5D4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Processing!$D$28:$D$31</c:f>
              <c:numCache>
                <c:formatCode>[&gt;=1000000]0.0,,"M";[&gt;=1000]0,"K";0.00</c:formatCode>
                <c:ptCount val="4"/>
                <c:pt idx="0">
                  <c:v>710062.65350000001</c:v>
                </c:pt>
                <c:pt idx="1">
                  <c:v>710062.65350000001</c:v>
                </c:pt>
                <c:pt idx="2">
                  <c:v>710062.65350000001</c:v>
                </c:pt>
                <c:pt idx="3">
                  <c:v>710062.65350000001</c:v>
                </c:pt>
              </c:numCache>
            </c:numRef>
          </c:val>
          <c:extLst>
            <c:ext xmlns:c15="http://schemas.microsoft.com/office/drawing/2012/chart" uri="{02D57815-91ED-43cb-92C2-25804820EDAC}">
              <c15:datalabelsRange>
                <c15:f>Processing!$B$28:$B$31</c15:f>
                <c15:dlblRangeCache>
                  <c:ptCount val="4"/>
                  <c:pt idx="0">
                    <c:v>4.9M</c:v>
                  </c:pt>
                  <c:pt idx="1">
                    <c:v>6.9M</c:v>
                  </c:pt>
                  <c:pt idx="2">
                    <c:v>7.5M</c:v>
                  </c:pt>
                  <c:pt idx="3">
                    <c:v>14.2M</c:v>
                  </c:pt>
                </c15:dlblRangeCache>
              </c15:datalabelsRange>
            </c:ext>
            <c:ext xmlns:c16="http://schemas.microsoft.com/office/drawing/2014/chart" uri="{C3380CC4-5D6E-409C-BE32-E72D297353CC}">
              <c16:uniqueId val="{00000006-63E9-4043-80DB-697C10F5D458}"/>
            </c:ext>
          </c:extLst>
        </c:ser>
        <c:dLbls>
          <c:showLegendKey val="0"/>
          <c:showVal val="0"/>
          <c:showCatName val="0"/>
          <c:showSerName val="0"/>
          <c:showPercent val="0"/>
          <c:showBubbleSize val="0"/>
        </c:dLbls>
        <c:gapWidth val="89"/>
        <c:overlap val="100"/>
        <c:axId val="1077212144"/>
        <c:axId val="1077233744"/>
      </c:barChart>
      <c:catAx>
        <c:axId val="1077212144"/>
        <c:scaling>
          <c:orientation val="minMax"/>
        </c:scaling>
        <c:delete val="1"/>
        <c:axPos val="l"/>
        <c:numFmt formatCode="General" sourceLinked="1"/>
        <c:majorTickMark val="none"/>
        <c:minorTickMark val="none"/>
        <c:tickLblPos val="nextTo"/>
        <c:crossAx val="1077233744"/>
        <c:crosses val="autoZero"/>
        <c:auto val="1"/>
        <c:lblAlgn val="ctr"/>
        <c:lblOffset val="100"/>
        <c:noMultiLvlLbl val="0"/>
      </c:catAx>
      <c:valAx>
        <c:axId val="1077233744"/>
        <c:scaling>
          <c:orientation val="minMax"/>
        </c:scaling>
        <c:delete val="0"/>
        <c:axPos val="b"/>
        <c:majorGridlines>
          <c:spPr>
            <a:ln w="9525" cap="flat" cmpd="sng" algn="ctr">
              <a:solidFill>
                <a:srgbClr val="0098FF">
                  <a:alpha val="49000"/>
                </a:srgbClr>
              </a:solidFill>
              <a:round/>
            </a:ln>
            <a:effectLst/>
          </c:spPr>
        </c:majorGridlines>
        <c:numFmt formatCode="[&gt;=1000000]0.0,,&quot;M&quot;;[&gt;=1000]0,&quot;K&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79DF6"/>
                </a:solidFill>
                <a:latin typeface="+mn-lt"/>
                <a:ea typeface="+mn-ea"/>
                <a:cs typeface="+mn-cs"/>
              </a:defRPr>
            </a:pPr>
            <a:endParaRPr lang="en-US"/>
          </a:p>
        </c:txPr>
        <c:crossAx val="1077212144"/>
        <c:crosses val="autoZero"/>
        <c:crossBetween val="between"/>
      </c:valAx>
      <c:spPr>
        <a:gradFill flip="none" rotWithShape="1">
          <a:gsLst>
            <a:gs pos="0">
              <a:srgbClr val="335F95">
                <a:alpha val="20000"/>
              </a:srgbClr>
            </a:gs>
            <a:gs pos="100000">
              <a:srgbClr val="4391E0">
                <a:alpha val="20000"/>
              </a:srgbClr>
            </a:gs>
          </a:gsLst>
          <a:lin ang="2700000" scaled="1"/>
          <a:tileRect/>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Analytics.xlsx]Pivot!PivotTable10</c:name>
    <c:fmtId val="13"/>
  </c:pivotSource>
  <c:chart>
    <c:title>
      <c:tx>
        <c:rich>
          <a:bodyPr rot="0" spcFirstLastPara="1" vertOverflow="ellipsis" vert="horz" wrap="square" anchor="ctr" anchorCtr="1"/>
          <a:lstStyle/>
          <a:p>
            <a:pPr>
              <a:defRPr sz="100" b="0" i="0" u="none" strike="noStrike" kern="1200" spc="0" baseline="0">
                <a:solidFill>
                  <a:schemeClr val="tx1">
                    <a:lumMod val="65000"/>
                    <a:lumOff val="35000"/>
                  </a:schemeClr>
                </a:solidFill>
                <a:latin typeface="+mn-lt"/>
                <a:ea typeface="+mn-ea"/>
                <a:cs typeface="+mn-cs"/>
              </a:defRPr>
            </a:pPr>
            <a:r>
              <a:rPr lang="en-US" sz="100"/>
              <a:t> </a:t>
            </a:r>
          </a:p>
        </c:rich>
      </c:tx>
      <c:overlay val="0"/>
      <c:spPr>
        <a:noFill/>
        <a:ln>
          <a:noFill/>
        </a:ln>
        <a:effectLst/>
      </c:spPr>
      <c:txPr>
        <a:bodyPr rot="0" spcFirstLastPara="1" vertOverflow="ellipsis" vert="horz" wrap="square" anchor="ctr" anchorCtr="1"/>
        <a:lstStyle/>
        <a:p>
          <a:pPr>
            <a:defRPr sz="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070C0"/>
              </a:gs>
              <a:gs pos="100000">
                <a:srgbClr val="00B0F0"/>
              </a:gs>
            </a:gsLst>
            <a:lin ang="16200000" scaled="1"/>
          </a:gradFill>
          <a:ln w="69850">
            <a:gradFill flip="none" rotWithShape="1">
              <a:gsLst>
                <a:gs pos="0">
                  <a:srgbClr val="0070C0"/>
                </a:gs>
                <a:gs pos="100000">
                  <a:srgbClr val="00B0F0"/>
                </a:gs>
              </a:gsLst>
              <a:lin ang="16200000" scaled="1"/>
              <a:tileRect/>
            </a:gradFill>
          </a:ln>
          <a:effectLst>
            <a:outerShdw blurRad="50800" dist="38100" dir="8100000" algn="tr" rotWithShape="0">
              <a:prstClr val="black">
                <a:alpha val="40000"/>
              </a:prstClr>
            </a:outerShdw>
          </a:effectLst>
        </c:spPr>
        <c:marker>
          <c:symbol val="none"/>
        </c:marker>
        <c:dLbl>
          <c:idx val="0"/>
          <c:spPr>
            <a:solidFill>
              <a:srgbClr val="99A8BD">
                <a:alpha val="22000"/>
              </a:srgbClr>
            </a:solidFill>
            <a:ln w="3175">
              <a:solidFill>
                <a:schemeClr val="bg1">
                  <a:alpha val="6000"/>
                </a:schemeClr>
              </a:solidFill>
            </a:ln>
            <a:effectLst/>
          </c:spPr>
          <c:txPr>
            <a:bodyPr rot="0" spcFirstLastPara="1" vertOverflow="clip" horzOverflow="clip" vert="horz" wrap="square" lIns="36576" tIns="18288" rIns="36576" bIns="18288" anchor="ctr" anchorCtr="1">
              <a:spAutoFit/>
            </a:bodyPr>
            <a:lstStyle/>
            <a:p>
              <a:pPr>
                <a:defRPr sz="8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clustered"/>
        <c:varyColors val="0"/>
        <c:ser>
          <c:idx val="0"/>
          <c:order val="0"/>
          <c:tx>
            <c:strRef>
              <c:f>Pivot!$C$55</c:f>
              <c:strCache>
                <c:ptCount val="1"/>
                <c:pt idx="0">
                  <c:v>Total</c:v>
                </c:pt>
              </c:strCache>
            </c:strRef>
          </c:tx>
          <c:spPr>
            <a:gradFill>
              <a:gsLst>
                <a:gs pos="0">
                  <a:srgbClr val="0070C0"/>
                </a:gs>
                <a:gs pos="100000">
                  <a:srgbClr val="00B0F0"/>
                </a:gs>
              </a:gsLst>
              <a:lin ang="16200000" scaled="1"/>
            </a:gradFill>
            <a:ln w="69850">
              <a:gradFill flip="none" rotWithShape="1">
                <a:gsLst>
                  <a:gs pos="0">
                    <a:srgbClr val="0070C0"/>
                  </a:gs>
                  <a:gs pos="100000">
                    <a:srgbClr val="00B0F0"/>
                  </a:gs>
                </a:gsLst>
                <a:lin ang="16200000" scaled="1"/>
                <a:tileRect/>
              </a:gradFill>
            </a:ln>
            <a:effectLst>
              <a:outerShdw blurRad="50800" dist="38100" dir="8100000" algn="tr" rotWithShape="0">
                <a:prstClr val="black">
                  <a:alpha val="40000"/>
                </a:prstClr>
              </a:outerShdw>
            </a:effectLst>
          </c:spPr>
          <c:invertIfNegative val="0"/>
          <c:dLbls>
            <c:spPr>
              <a:solidFill>
                <a:srgbClr val="99A8BD">
                  <a:alpha val="22000"/>
                </a:srgbClr>
              </a:solidFill>
              <a:ln w="3175">
                <a:solidFill>
                  <a:schemeClr val="bg1">
                    <a:alpha val="6000"/>
                  </a:schemeClr>
                </a:solidFill>
              </a:ln>
              <a:effectLst/>
            </c:spPr>
            <c:txPr>
              <a:bodyPr rot="0" spcFirstLastPara="1" vertOverflow="clip" horzOverflow="clip" vert="horz" wrap="square" lIns="36576" tIns="18288" rIns="36576" bIns="18288" anchor="ctr" anchorCtr="1">
                <a:spAutoFit/>
              </a:bodyPr>
              <a:lstStyle/>
              <a:p>
                <a:pPr>
                  <a:defRPr sz="8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Pivot!$B$56:$B$61</c:f>
              <c:strCache>
                <c:ptCount val="5"/>
                <c:pt idx="0">
                  <c:v>Summer Sale Campaign</c:v>
                </c:pt>
                <c:pt idx="1">
                  <c:v>Retargeting Campaign</c:v>
                </c:pt>
                <c:pt idx="2">
                  <c:v>New Product Launch</c:v>
                </c:pt>
                <c:pt idx="3">
                  <c:v>Email Promotion</c:v>
                </c:pt>
                <c:pt idx="4">
                  <c:v>Social Media Boost Campaign</c:v>
                </c:pt>
              </c:strCache>
            </c:strRef>
          </c:cat>
          <c:val>
            <c:numRef>
              <c:f>Pivot!$C$56:$C$61</c:f>
              <c:numCache>
                <c:formatCode>[&gt;=1000000]0.0,,"M";[&gt;=1000]0,"K";0.00</c:formatCode>
                <c:ptCount val="5"/>
                <c:pt idx="0">
                  <c:v>7526106.3199999994</c:v>
                </c:pt>
                <c:pt idx="1">
                  <c:v>5903948.3800000008</c:v>
                </c:pt>
                <c:pt idx="2">
                  <c:v>4710860.21</c:v>
                </c:pt>
                <c:pt idx="3">
                  <c:v>3321507.81</c:v>
                </c:pt>
                <c:pt idx="4">
                  <c:v>3301121.15</c:v>
                </c:pt>
              </c:numCache>
            </c:numRef>
          </c:val>
          <c:extLst>
            <c:ext xmlns:c16="http://schemas.microsoft.com/office/drawing/2014/chart" uri="{C3380CC4-5D6E-409C-BE32-E72D297353CC}">
              <c16:uniqueId val="{00000000-8946-4B0E-8011-F3A8B4DAEAC5}"/>
            </c:ext>
          </c:extLst>
        </c:ser>
        <c:dLbls>
          <c:showLegendKey val="0"/>
          <c:showVal val="0"/>
          <c:showCatName val="0"/>
          <c:showSerName val="0"/>
          <c:showPercent val="0"/>
          <c:showBubbleSize val="0"/>
        </c:dLbls>
        <c:gapWidth val="213"/>
        <c:axId val="1029824656"/>
        <c:axId val="719927136"/>
      </c:barChart>
      <c:catAx>
        <c:axId val="102982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baseline="0">
                <a:solidFill>
                  <a:schemeClr val="accent1">
                    <a:lumMod val="20000"/>
                    <a:lumOff val="80000"/>
                  </a:schemeClr>
                </a:solidFill>
                <a:latin typeface="+mn-lt"/>
                <a:ea typeface="+mn-ea"/>
                <a:cs typeface="+mn-cs"/>
              </a:defRPr>
            </a:pPr>
            <a:endParaRPr lang="en-US"/>
          </a:p>
        </c:txPr>
        <c:crossAx val="719927136"/>
        <c:crosses val="autoZero"/>
        <c:auto val="1"/>
        <c:lblAlgn val="ctr"/>
        <c:lblOffset val="100"/>
        <c:noMultiLvlLbl val="0"/>
      </c:catAx>
      <c:valAx>
        <c:axId val="719927136"/>
        <c:scaling>
          <c:orientation val="minMax"/>
        </c:scaling>
        <c:delete val="0"/>
        <c:axPos val="l"/>
        <c:majorGridlines>
          <c:spPr>
            <a:ln w="6350" cap="flat" cmpd="sng" algn="ctr">
              <a:solidFill>
                <a:srgbClr val="0098FF">
                  <a:alpha val="51000"/>
                </a:srgbClr>
              </a:solidFill>
              <a:round/>
            </a:ln>
            <a:effectLst>
              <a:outerShdw blurRad="50800" dist="38100" dir="8100000" algn="tr" rotWithShape="0">
                <a:prstClr val="black">
                  <a:alpha val="40000"/>
                </a:prstClr>
              </a:outerShdw>
            </a:effectLst>
          </c:spPr>
        </c:majorGridlines>
        <c:numFmt formatCode="[&gt;=1000000]0.0,,&quot;M&quot;;[&gt;=1000]0,&quot;K&quot;;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B79DF6"/>
                </a:solidFill>
                <a:latin typeface="+mn-lt"/>
                <a:ea typeface="+mn-ea"/>
                <a:cs typeface="+mn-cs"/>
              </a:defRPr>
            </a:pPr>
            <a:endParaRPr lang="en-US"/>
          </a:p>
        </c:txPr>
        <c:crossAx val="1029824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400" b="0" i="0" u="none" strike="noStrike" kern="1200" spc="0" baseline="0">
                <a:solidFill>
                  <a:schemeClr val="tx1">
                    <a:lumMod val="65000"/>
                    <a:lumOff val="35000"/>
                  </a:schemeClr>
                </a:solidFill>
                <a:latin typeface="+mn-lt"/>
                <a:ea typeface="+mn-ea"/>
                <a:cs typeface="+mn-cs"/>
              </a:defRPr>
            </a:pPr>
            <a:r>
              <a:rPr lang="en-US" sz="400"/>
              <a:t> </a:t>
            </a:r>
          </a:p>
        </c:rich>
      </c:tx>
      <c:overlay val="0"/>
      <c:spPr>
        <a:noFill/>
        <a:ln>
          <a:noFill/>
        </a:ln>
        <a:effectLst/>
      </c:spPr>
      <c:txPr>
        <a:bodyPr rot="0" spcFirstLastPara="1" vertOverflow="ellipsis" vert="horz" wrap="square" anchor="ctr" anchorCtr="1"/>
        <a:lstStyle/>
        <a:p>
          <a:pPr>
            <a:defRPr sz="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239D9A"/>
              </a:gs>
              <a:gs pos="100000">
                <a:srgbClr val="33D1CD"/>
              </a:gs>
            </a:gsLst>
            <a:lin ang="0" scaled="1"/>
            <a:tileRect/>
          </a:gradFill>
          <a:ln w="104775">
            <a:gradFill>
              <a:gsLst>
                <a:gs pos="0">
                  <a:srgbClr val="239D9A"/>
                </a:gs>
                <a:gs pos="100000">
                  <a:srgbClr val="33D1CD"/>
                </a:gs>
              </a:gsLst>
              <a:lin ang="0" scaled="0"/>
            </a:gradFill>
          </a:ln>
          <a:effectLst/>
        </c:spPr>
        <c:marker>
          <c:symbol val="none"/>
        </c:marker>
        <c:dLbl>
          <c:idx val="0"/>
          <c:numFmt formatCode="[&gt;=1000000]0.0,,&quot;M&quot;;[&gt;=1000]0.0,&quot;K&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239D9A"/>
              </a:gs>
              <a:gs pos="100000">
                <a:srgbClr val="33D1CD"/>
              </a:gs>
            </a:gsLst>
            <a:lin ang="0" scaled="1"/>
            <a:tileRect/>
          </a:gradFill>
          <a:ln w="104775">
            <a:gradFill>
              <a:gsLst>
                <a:gs pos="0">
                  <a:srgbClr val="239D9A"/>
                </a:gs>
                <a:gs pos="100000">
                  <a:srgbClr val="33D1CD"/>
                </a:gs>
              </a:gsLst>
              <a:lin ang="0" scaled="0"/>
            </a:gradFill>
          </a:ln>
          <a:effectLst/>
        </c:spPr>
        <c:marker>
          <c:symbol val="none"/>
        </c:marker>
        <c:dLbl>
          <c:idx val="0"/>
          <c:numFmt formatCode="[&gt;=1000000]0.0,,&quot;M&quot;;[&gt;=1000]0.0,&quot;K&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239D9A"/>
              </a:gs>
              <a:gs pos="100000">
                <a:srgbClr val="33D1CD"/>
              </a:gs>
            </a:gsLst>
            <a:lin ang="0" scaled="1"/>
            <a:tileRect/>
          </a:gradFill>
          <a:ln w="104775">
            <a:gradFill>
              <a:gsLst>
                <a:gs pos="0">
                  <a:srgbClr val="239D9A"/>
                </a:gs>
                <a:gs pos="100000">
                  <a:srgbClr val="33D1CD"/>
                </a:gs>
              </a:gsLst>
              <a:lin ang="0" scaled="0"/>
            </a:gradFill>
          </a:ln>
          <a:effectLst/>
        </c:spPr>
        <c:marker>
          <c:symbol val="none"/>
        </c:marker>
        <c:dLbl>
          <c:idx val="0"/>
          <c:numFmt formatCode="[&gt;=1000000]0.0,,&quot;M&quot;;[&gt;=1000]0.0,&quot;K&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239D9A"/>
              </a:gs>
              <a:gs pos="100000">
                <a:srgbClr val="33D1CD"/>
              </a:gs>
            </a:gsLst>
            <a:lin ang="0" scaled="1"/>
            <a:tileRect/>
          </a:gradFill>
          <a:ln w="104775">
            <a:gradFill>
              <a:gsLst>
                <a:gs pos="0">
                  <a:srgbClr val="239D9A"/>
                </a:gs>
                <a:gs pos="100000">
                  <a:srgbClr val="33D1CD"/>
                </a:gs>
              </a:gsLst>
              <a:lin ang="0" scaled="0"/>
            </a:gradFill>
          </a:ln>
          <a:effectLst/>
        </c:spPr>
        <c:marker>
          <c:symbol val="none"/>
        </c:marker>
        <c:dLbl>
          <c:idx val="0"/>
          <c:numFmt formatCode="[&gt;=1000000]0.0,,&quot;M&quot;;[&gt;=1000]0.0,&quot;K&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noFill/>
          <a:ln w="139700">
            <a:gradFill>
              <a:gsLst>
                <a:gs pos="2000">
                  <a:srgbClr val="B450F4"/>
                </a:gs>
                <a:gs pos="23000">
                  <a:srgbClr val="B450F4"/>
                </a:gs>
                <a:gs pos="76000">
                  <a:srgbClr val="339EEF"/>
                </a:gs>
                <a:gs pos="100000">
                  <a:srgbClr val="24F6F7"/>
                </a:gs>
              </a:gsLst>
              <a:lin ang="5400000" scaled="1"/>
            </a:gradFill>
          </a:ln>
          <a:effectLst>
            <a:outerShdw blurRad="50800" dist="38100" dir="8100000" algn="tr" rotWithShape="0">
              <a:prstClr val="black">
                <a:alpha val="40000"/>
              </a:prstClr>
            </a:outerShdw>
          </a:effectLst>
        </c:spPr>
        <c:marker>
          <c:symbol val="none"/>
        </c:marker>
        <c:dLbl>
          <c:idx val="0"/>
          <c:numFmt formatCode="[&gt;=1000000]0.0,,&quot;M&quot;;[&gt;=1000]0.0,&quot;K&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noFill/>
          <a:ln w="139700">
            <a:gradFill>
              <a:gsLst>
                <a:gs pos="2000">
                  <a:srgbClr val="B450F4"/>
                </a:gs>
                <a:gs pos="23000">
                  <a:srgbClr val="B450F4"/>
                </a:gs>
                <a:gs pos="76000">
                  <a:srgbClr val="339EEF"/>
                </a:gs>
                <a:gs pos="100000">
                  <a:srgbClr val="24F6F7"/>
                </a:gs>
              </a:gsLst>
              <a:lin ang="5400000" scaled="1"/>
            </a:gradFill>
          </a:ln>
          <a:effectLst>
            <a:outerShdw blurRad="50800" dist="38100" dir="8100000" algn="tr" rotWithShape="0">
              <a:prstClr val="black">
                <a:alpha val="40000"/>
              </a:prstClr>
            </a:outerShdw>
          </a:effectLst>
        </c:spPr>
        <c:marker>
          <c:symbol val="none"/>
        </c:marker>
        <c:dLbl>
          <c:idx val="0"/>
          <c:numFmt formatCode="[&gt;=1000000]0.0,,&quot;M&quot;;[&gt;=1000]0.0,&quot;K&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noFill/>
          <a:ln w="139700">
            <a:gradFill>
              <a:gsLst>
                <a:gs pos="2000">
                  <a:srgbClr val="B450F4"/>
                </a:gs>
                <a:gs pos="23000">
                  <a:srgbClr val="B450F4"/>
                </a:gs>
                <a:gs pos="76000">
                  <a:srgbClr val="339EEF"/>
                </a:gs>
                <a:gs pos="100000">
                  <a:srgbClr val="24F6F7"/>
                </a:gs>
              </a:gsLst>
              <a:lin ang="5400000" scaled="1"/>
            </a:gradFill>
          </a:ln>
          <a:effectLst>
            <a:outerShdw blurRad="50800" dist="38100" dir="8100000" algn="tr" rotWithShape="0">
              <a:prstClr val="black">
                <a:alpha val="40000"/>
              </a:prstClr>
            </a:outerShdw>
          </a:effectLst>
        </c:spPr>
        <c:marker>
          <c:symbol val="none"/>
        </c:marker>
        <c:dLbl>
          <c:idx val="0"/>
          <c:numFmt formatCode="[&gt;=1000000]0.0,,&quot;M&quot;;[&gt;=1000]0.0,&quot;K&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21465157072694"/>
          <c:y val="0.16305093665034645"/>
          <c:w val="0.52712830432958058"/>
          <c:h val="0.68495013646048841"/>
        </c:manualLayout>
      </c:layout>
      <c:barChart>
        <c:barDir val="bar"/>
        <c:grouping val="clustered"/>
        <c:varyColors val="0"/>
        <c:ser>
          <c:idx val="0"/>
          <c:order val="0"/>
          <c:tx>
            <c:v>Series1</c:v>
          </c:tx>
          <c:spPr>
            <a:noFill/>
            <a:ln w="139700">
              <a:gradFill>
                <a:gsLst>
                  <a:gs pos="2000">
                    <a:srgbClr val="B450F4"/>
                  </a:gs>
                  <a:gs pos="23000">
                    <a:srgbClr val="B450F4"/>
                  </a:gs>
                  <a:gs pos="76000">
                    <a:srgbClr val="339EEF"/>
                  </a:gs>
                  <a:gs pos="100000">
                    <a:srgbClr val="24F6F7"/>
                  </a:gs>
                </a:gsLst>
                <a:lin ang="5400000" scaled="1"/>
              </a:gradFill>
            </a:ln>
            <a:effectLst>
              <a:outerShdw blurRad="50800" dist="38100" dir="8100000" algn="tr" rotWithShape="0">
                <a:prstClr val="black">
                  <a:alpha val="40000"/>
                </a:prstClr>
              </a:outerShdw>
            </a:effectLst>
          </c:spPr>
          <c:invertIfNegative val="0"/>
          <c:dLbls>
            <c:numFmt formatCode="[&gt;=1000000]0.0,,&quot;M&quot;;[&gt;=1000]0.0,&quot;K&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Influencer Marketing Campaign</c:v>
              </c:pt>
              <c:pt idx="1">
                <c:v>Cart Abandonment Campaign</c:v>
              </c:pt>
              <c:pt idx="2">
                <c:v>Flash Sale Campaign</c:v>
              </c:pt>
              <c:pt idx="3">
                <c:v>Seasonal Discount Campaign</c:v>
              </c:pt>
              <c:pt idx="4">
                <c:v>Loyalty Program Campaign</c:v>
              </c:pt>
              <c:pt idx="5">
                <c:v>Brand Awareness Campaign</c:v>
              </c:pt>
              <c:pt idx="6">
                <c:v>Search Engine Ads Campaign</c:v>
              </c:pt>
              <c:pt idx="7">
                <c:v>Email Promotion</c:v>
              </c:pt>
              <c:pt idx="8">
                <c:v>Social Media Boost Campaign</c:v>
              </c:pt>
              <c:pt idx="9">
                <c:v>New Product Launch</c:v>
              </c:pt>
              <c:pt idx="10">
                <c:v>Retargeting Campaign</c:v>
              </c:pt>
              <c:pt idx="11">
                <c:v>Summer Sale Campaign</c:v>
              </c:pt>
            </c:strLit>
          </c:cat>
          <c:val>
            <c:numLit>
              <c:formatCode>General</c:formatCode>
              <c:ptCount val="12"/>
              <c:pt idx="0">
                <c:v>150.81120000000001</c:v>
              </c:pt>
              <c:pt idx="1">
                <c:v>152.83999999999997</c:v>
              </c:pt>
              <c:pt idx="2">
                <c:v>225.06129999999999</c:v>
              </c:pt>
              <c:pt idx="3">
                <c:v>312.96969999999988</c:v>
              </c:pt>
              <c:pt idx="4">
                <c:v>326.84499999999991</c:v>
              </c:pt>
              <c:pt idx="5">
                <c:v>380.31999999999994</c:v>
              </c:pt>
              <c:pt idx="6">
                <c:v>589.56950000000006</c:v>
              </c:pt>
              <c:pt idx="7">
                <c:v>810.53029999999967</c:v>
              </c:pt>
              <c:pt idx="8">
                <c:v>838.07309999999927</c:v>
              </c:pt>
              <c:pt idx="9">
                <c:v>1050.5193999999992</c:v>
              </c:pt>
              <c:pt idx="10">
                <c:v>1502.4596999999987</c:v>
              </c:pt>
              <c:pt idx="11">
                <c:v>1815.635700000001</c:v>
              </c:pt>
            </c:numLit>
          </c:val>
          <c:extLst>
            <c:ext xmlns:c16="http://schemas.microsoft.com/office/drawing/2014/chart" uri="{C3380CC4-5D6E-409C-BE32-E72D297353CC}">
              <c16:uniqueId val="{00000000-94D6-4B53-A9BE-1D2413C2DCBB}"/>
            </c:ext>
          </c:extLst>
        </c:ser>
        <c:dLbls>
          <c:showLegendKey val="0"/>
          <c:showVal val="0"/>
          <c:showCatName val="0"/>
          <c:showSerName val="0"/>
          <c:showPercent val="0"/>
          <c:showBubbleSize val="0"/>
        </c:dLbls>
        <c:gapWidth val="372"/>
        <c:axId val="1072879920"/>
        <c:axId val="1072878000"/>
      </c:barChart>
      <c:catAx>
        <c:axId val="1072879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072878000"/>
        <c:crosses val="autoZero"/>
        <c:auto val="1"/>
        <c:lblAlgn val="ctr"/>
        <c:lblOffset val="100"/>
        <c:noMultiLvlLbl val="0"/>
      </c:catAx>
      <c:valAx>
        <c:axId val="1072878000"/>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79DF6"/>
                </a:solidFill>
                <a:latin typeface="+mn-lt"/>
                <a:ea typeface="+mn-ea"/>
                <a:cs typeface="+mn-cs"/>
              </a:defRPr>
            </a:pPr>
            <a:endParaRPr lang="en-US"/>
          </a:p>
        </c:txPr>
        <c:crossAx val="1072879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2004268840422898"/>
          <c:y val="2.849400756437374E-2"/>
          <c:w val="0.52347971211014921"/>
          <c:h val="0.94301198487125248"/>
        </c:manualLayout>
      </c:layout>
      <c:doughnutChart>
        <c:varyColors val="1"/>
        <c:ser>
          <c:idx val="0"/>
          <c:order val="0"/>
          <c:tx>
            <c:strRef>
              <c:f>Processing!$B$35</c:f>
              <c:strCache>
                <c:ptCount val="1"/>
                <c:pt idx="0">
                  <c:v>P1</c:v>
                </c:pt>
              </c:strCache>
            </c:strRef>
          </c:tx>
          <c:spPr>
            <a:ln>
              <a:noFill/>
            </a:ln>
            <a:effectLst>
              <a:outerShdw blurRad="279400" dist="165100" dir="8100000" algn="tr" rotWithShape="0">
                <a:prstClr val="black">
                  <a:alpha val="40000"/>
                </a:prstClr>
              </a:outerShdw>
            </a:effectLst>
          </c:spPr>
          <c:dPt>
            <c:idx val="0"/>
            <c:bubble3D val="0"/>
            <c:spPr>
              <a:gradFill>
                <a:gsLst>
                  <a:gs pos="0">
                    <a:srgbClr val="D56EE6"/>
                  </a:gs>
                  <a:gs pos="100000">
                    <a:srgbClr val="C370F5"/>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1-F16E-4184-8889-B5C06BA11179}"/>
              </c:ext>
            </c:extLst>
          </c:dPt>
          <c:dPt>
            <c:idx val="1"/>
            <c:bubble3D val="0"/>
            <c:spPr>
              <a:gradFill>
                <a:gsLst>
                  <a:gs pos="0">
                    <a:srgbClr val="5BD4E3"/>
                  </a:gs>
                  <a:gs pos="100000">
                    <a:srgbClr val="5DB5FE"/>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3-F16E-4184-8889-B5C06BA11179}"/>
              </c:ext>
            </c:extLst>
          </c:dPt>
          <c:dPt>
            <c:idx val="2"/>
            <c:bubble3D val="0"/>
            <c:spPr>
              <a:gradFill>
                <a:gsLst>
                  <a:gs pos="0">
                    <a:srgbClr val="7D76F6"/>
                  </a:gs>
                  <a:gs pos="100000">
                    <a:srgbClr val="6C57EF"/>
                  </a:gs>
                </a:gsLst>
                <a:lin ang="8100000" scaled="1"/>
              </a:gradFill>
              <a:ln w="19050">
                <a:noFill/>
              </a:ln>
              <a:effectLst>
                <a:outerShdw blurRad="317500" dist="127000" dir="8100000" algn="tr" rotWithShape="0">
                  <a:srgbClr val="423791">
                    <a:alpha val="60000"/>
                  </a:srgbClr>
                </a:outerShdw>
              </a:effectLst>
            </c:spPr>
            <c:extLst>
              <c:ext xmlns:c16="http://schemas.microsoft.com/office/drawing/2014/chart" uri="{C3380CC4-5D6E-409C-BE32-E72D297353CC}">
                <c16:uniqueId val="{00000005-F16E-4184-8889-B5C06BA11179}"/>
              </c:ext>
            </c:extLst>
          </c:dPt>
          <c:dPt>
            <c:idx val="3"/>
            <c:bubble3D val="0"/>
            <c:spPr>
              <a:gradFill flip="none" rotWithShape="1">
                <a:gsLst>
                  <a:gs pos="2100">
                    <a:srgbClr val="288AB6"/>
                  </a:gs>
                  <a:gs pos="1575">
                    <a:srgbClr val="3298C5"/>
                  </a:gs>
                  <a:gs pos="100000">
                    <a:srgbClr val="3CA5D4"/>
                  </a:gs>
                </a:gsLst>
                <a:lin ang="16200000" scaled="1"/>
                <a:tileRect/>
              </a:gradFill>
              <a:ln w="19050">
                <a:noFill/>
              </a:ln>
              <a:effectLst/>
            </c:spPr>
            <c:extLst>
              <c:ext xmlns:c16="http://schemas.microsoft.com/office/drawing/2014/chart" uri="{C3380CC4-5D6E-409C-BE32-E72D297353CC}">
                <c16:uniqueId val="{00000007-F16E-4184-8889-B5C06BA11179}"/>
              </c:ext>
            </c:extLst>
          </c:dPt>
          <c:cat>
            <c:strRef>
              <c:f>Processing!$A$36:$A$39</c:f>
              <c:strCache>
                <c:ptCount val="4"/>
                <c:pt idx="0">
                  <c:v>South</c:v>
                </c:pt>
                <c:pt idx="1">
                  <c:v>North</c:v>
                </c:pt>
                <c:pt idx="2">
                  <c:v>West</c:v>
                </c:pt>
                <c:pt idx="3">
                  <c:v>East</c:v>
                </c:pt>
              </c:strCache>
            </c:strRef>
          </c:cat>
          <c:val>
            <c:numRef>
              <c:f>Processing!$B$36:$B$39</c:f>
              <c:numCache>
                <c:formatCode>[&gt;=1000000]0.0,,"M";[&gt;=1000]0,"K";0.00</c:formatCode>
                <c:ptCount val="4"/>
                <c:pt idx="0">
                  <c:v>11746551.029999999</c:v>
                </c:pt>
                <c:pt idx="1">
                  <c:v>9635644.3200000003</c:v>
                </c:pt>
                <c:pt idx="2">
                  <c:v>7172633.1400000006</c:v>
                </c:pt>
                <c:pt idx="3">
                  <c:v>5023139.8499999996</c:v>
                </c:pt>
              </c:numCache>
            </c:numRef>
          </c:val>
          <c:extLst>
            <c:ext xmlns:c16="http://schemas.microsoft.com/office/drawing/2014/chart" uri="{C3380CC4-5D6E-409C-BE32-E72D297353CC}">
              <c16:uniqueId val="{00000008-F16E-4184-8889-B5C06BA11179}"/>
            </c:ext>
          </c:extLst>
        </c:ser>
        <c:dLbls>
          <c:showLegendKey val="0"/>
          <c:showVal val="0"/>
          <c:showCatName val="0"/>
          <c:showSerName val="0"/>
          <c:showPercent val="0"/>
          <c:showBubbleSize val="0"/>
          <c:showLeaderLines val="1"/>
        </c:dLbls>
        <c:firstSliceAng val="0"/>
        <c:holeSize val="55"/>
      </c:doughnutChart>
    </c:plotArea>
    <c:legend>
      <c:legendPos val="l"/>
      <c:layout>
        <c:manualLayout>
          <c:xMode val="edge"/>
          <c:yMode val="edge"/>
          <c:x val="2.0627124106182344E-2"/>
          <c:y val="0.22396147674054112"/>
          <c:w val="0.16833599698552532"/>
          <c:h val="0.61149475299544764"/>
        </c:manualLayout>
      </c:layout>
      <c:overlay val="0"/>
      <c:txPr>
        <a:bodyPr/>
        <a:lstStyle/>
        <a:p>
          <a:pPr>
            <a:defRPr>
              <a:solidFill>
                <a:srgbClr val="B79DF6"/>
              </a:solidFill>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Processing!$B$43</c:f>
              <c:strCache>
                <c:ptCount val="1"/>
                <c:pt idx="0">
                  <c:v>Revenue</c:v>
                </c:pt>
              </c:strCache>
            </c:strRef>
          </c:tx>
          <c:spPr>
            <a:ln>
              <a:noFill/>
            </a:ln>
            <a:effectLst>
              <a:outerShdw blurRad="50800" dist="38100" dir="8100000" algn="tr" rotWithShape="0">
                <a:prstClr val="black">
                  <a:alpha val="40000"/>
                </a:prstClr>
              </a:outerShdw>
            </a:effectLst>
          </c:spPr>
          <c:dPt>
            <c:idx val="0"/>
            <c:bubble3D val="0"/>
            <c:spPr>
              <a:gradFill>
                <a:gsLst>
                  <a:gs pos="0">
                    <a:srgbClr val="E053FB"/>
                  </a:gs>
                  <a:gs pos="100000">
                    <a:srgbClr val="7C74F5"/>
                  </a:gs>
                </a:gsLst>
                <a:lin ang="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956F-4E20-84D1-5347DA943CD3}"/>
              </c:ext>
            </c:extLst>
          </c:dPt>
          <c:dPt>
            <c:idx val="1"/>
            <c:bubble3D val="0"/>
            <c:spPr>
              <a:gradFill>
                <a:gsLst>
                  <a:gs pos="0">
                    <a:srgbClr val="6D8DF8"/>
                  </a:gs>
                  <a:gs pos="100000">
                    <a:srgbClr val="2AF2F7"/>
                  </a:gs>
                </a:gsLst>
                <a:lin ang="19800000" scaled="0"/>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956F-4E20-84D1-5347DA943CD3}"/>
              </c:ext>
            </c:extLst>
          </c:dPt>
          <c:dPt>
            <c:idx val="2"/>
            <c:bubble3D val="0"/>
            <c:spPr>
              <a:gradFill flip="none" rotWithShape="1">
                <a:gsLst>
                  <a:gs pos="0">
                    <a:srgbClr val="FE02CE"/>
                  </a:gs>
                  <a:gs pos="100000">
                    <a:srgbClr val="B335B9"/>
                  </a:gs>
                </a:gsLst>
                <a:lin ang="12600000" scaled="0"/>
                <a:tileRect/>
              </a:gra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956F-4E20-84D1-5347DA943CD3}"/>
              </c:ext>
            </c:extLst>
          </c:dPt>
          <c:cat>
            <c:strRef>
              <c:f>Processing!$A$44:$A$46</c:f>
              <c:strCache>
                <c:ptCount val="3"/>
                <c:pt idx="0">
                  <c:v>Electronics</c:v>
                </c:pt>
                <c:pt idx="1">
                  <c:v>Fashion</c:v>
                </c:pt>
                <c:pt idx="2">
                  <c:v>Health &amp; Fitness</c:v>
                </c:pt>
              </c:strCache>
            </c:strRef>
          </c:cat>
          <c:val>
            <c:numRef>
              <c:f>Processing!$B$44:$B$46</c:f>
              <c:numCache>
                <c:formatCode>[&gt;=1000000]0.0,,"M";[&gt;=1000]0,"K";0.00</c:formatCode>
                <c:ptCount val="3"/>
                <c:pt idx="0">
                  <c:v>15082727.409999998</c:v>
                </c:pt>
                <c:pt idx="1">
                  <c:v>12172956.609999999</c:v>
                </c:pt>
                <c:pt idx="2">
                  <c:v>6322284.3200000003</c:v>
                </c:pt>
              </c:numCache>
            </c:numRef>
          </c:val>
          <c:extLst>
            <c:ext xmlns:c16="http://schemas.microsoft.com/office/drawing/2014/chart" uri="{C3380CC4-5D6E-409C-BE32-E72D297353CC}">
              <c16:uniqueId val="{00000006-956F-4E20-84D1-5347DA943CD3}"/>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noFill/>
            <a:ln w="146050">
              <a:gradFill>
                <a:gsLst>
                  <a:gs pos="0">
                    <a:srgbClr val="B450F4"/>
                  </a:gs>
                  <a:gs pos="23000">
                    <a:srgbClr val="B450F4"/>
                  </a:gs>
                  <a:gs pos="76000">
                    <a:srgbClr val="339EEF"/>
                  </a:gs>
                  <a:gs pos="100000">
                    <a:srgbClr val="24F6F7"/>
                  </a:gs>
                </a:gsLst>
                <a:lin ang="5400000" scaled="1"/>
              </a:gradFill>
            </a:ln>
            <a:effectLst>
              <a:outerShdw blurRad="50800" dist="38100" dir="8100000" algn="tr" rotWithShape="0">
                <a:prstClr val="black">
                  <a:alpha val="40000"/>
                </a:prstClr>
              </a:outerShdw>
            </a:effectLst>
          </c:spPr>
          <c:invertIfNegative val="0"/>
          <c:dLbls>
            <c:dLbl>
              <c:idx val="0"/>
              <c:tx>
                <c:rich>
                  <a:bodyPr/>
                  <a:lstStyle/>
                  <a:p>
                    <a:fld id="{0479D1FD-B682-4540-8A48-92AC6ACC1FBF}"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DB2E-4538-8AA3-83CE59523C0F}"/>
                </c:ext>
              </c:extLst>
            </c:dLbl>
            <c:dLbl>
              <c:idx val="1"/>
              <c:tx>
                <c:rich>
                  <a:bodyPr/>
                  <a:lstStyle/>
                  <a:p>
                    <a:fld id="{F1E21FBB-6E0F-4AB2-8B79-1AA657BFC0DE}"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DB2E-4538-8AA3-83CE59523C0F}"/>
                </c:ext>
              </c:extLst>
            </c:dLbl>
            <c:dLbl>
              <c:idx val="2"/>
              <c:tx>
                <c:rich>
                  <a:bodyPr/>
                  <a:lstStyle/>
                  <a:p>
                    <a:fld id="{6CFB9D7B-5023-4CFB-978C-689476BBD460}"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B2E-4538-8AA3-83CE59523C0F}"/>
                </c:ext>
              </c:extLst>
            </c:dLbl>
            <c:dLbl>
              <c:idx val="3"/>
              <c:tx>
                <c:rich>
                  <a:bodyPr/>
                  <a:lstStyle/>
                  <a:p>
                    <a:fld id="{70B1BF69-0AB1-4166-860B-F4950AA6712E}"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B2E-4538-8AA3-83CE59523C0F}"/>
                </c:ext>
              </c:extLst>
            </c:dLbl>
            <c:dLbl>
              <c:idx val="4"/>
              <c:tx>
                <c:rich>
                  <a:bodyPr/>
                  <a:lstStyle/>
                  <a:p>
                    <a:fld id="{0D0ABE1C-25C8-4B50-B885-B9E397F41E13}"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B2E-4538-8AA3-83CE59523C0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Processing!$A$64:$A$68</c:f>
              <c:strCache>
                <c:ptCount val="5"/>
                <c:pt idx="0">
                  <c:v>New Product Launch</c:v>
                </c:pt>
                <c:pt idx="1">
                  <c:v>Social Media Boost Campaign</c:v>
                </c:pt>
                <c:pt idx="2">
                  <c:v>Email Promotion</c:v>
                </c:pt>
                <c:pt idx="3">
                  <c:v>Cart Abandonment Campaign</c:v>
                </c:pt>
                <c:pt idx="4">
                  <c:v>Brand Awareness Campaign</c:v>
                </c:pt>
              </c:strCache>
            </c:strRef>
          </c:cat>
          <c:val>
            <c:numRef>
              <c:f>Processing!$B$64:$B$68</c:f>
              <c:numCache>
                <c:formatCode>General</c:formatCode>
                <c:ptCount val="5"/>
                <c:pt idx="0">
                  <c:v>7.6</c:v>
                </c:pt>
                <c:pt idx="1">
                  <c:v>7.7</c:v>
                </c:pt>
                <c:pt idx="2">
                  <c:v>7.8</c:v>
                </c:pt>
                <c:pt idx="3">
                  <c:v>7.9</c:v>
                </c:pt>
                <c:pt idx="4">
                  <c:v>8.3000000000000007</c:v>
                </c:pt>
              </c:numCache>
            </c:numRef>
          </c:val>
          <c:extLst>
            <c:ext xmlns:c15="http://schemas.microsoft.com/office/drawing/2012/chart" uri="{02D57815-91ED-43cb-92C2-25804820EDAC}">
              <c15:datalabelsRange>
                <c15:f>Processing!$C$64:$C$68</c15:f>
                <c15:dlblRangeCache>
                  <c:ptCount val="5"/>
                  <c:pt idx="0">
                    <c:v>7.6%</c:v>
                  </c:pt>
                  <c:pt idx="1">
                    <c:v>7.7%</c:v>
                  </c:pt>
                  <c:pt idx="2">
                    <c:v>7.8%</c:v>
                  </c:pt>
                  <c:pt idx="3">
                    <c:v>7.9%</c:v>
                  </c:pt>
                  <c:pt idx="4">
                    <c:v>8.3%</c:v>
                  </c:pt>
                </c15:dlblRangeCache>
              </c15:datalabelsRange>
            </c:ext>
            <c:ext xmlns:c16="http://schemas.microsoft.com/office/drawing/2014/chart" uri="{C3380CC4-5D6E-409C-BE32-E72D297353CC}">
              <c16:uniqueId val="{00000005-DB2E-4538-8AA3-83CE59523C0F}"/>
            </c:ext>
          </c:extLst>
        </c:ser>
        <c:dLbls>
          <c:showLegendKey val="0"/>
          <c:showVal val="0"/>
          <c:showCatName val="0"/>
          <c:showSerName val="0"/>
          <c:showPercent val="0"/>
          <c:showBubbleSize val="0"/>
        </c:dLbls>
        <c:gapWidth val="500"/>
        <c:axId val="1711248320"/>
        <c:axId val="1711244480"/>
      </c:barChart>
      <c:catAx>
        <c:axId val="171124832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711244480"/>
        <c:crosses val="autoZero"/>
        <c:auto val="1"/>
        <c:lblAlgn val="ctr"/>
        <c:lblOffset val="100"/>
        <c:noMultiLvlLbl val="0"/>
      </c:catAx>
      <c:valAx>
        <c:axId val="1711244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CDDE8"/>
                </a:solidFill>
                <a:latin typeface="+mn-lt"/>
                <a:ea typeface="+mn-ea"/>
                <a:cs typeface="+mn-cs"/>
              </a:defRPr>
            </a:pPr>
            <a:endParaRPr lang="en-US"/>
          </a:p>
        </c:txPr>
        <c:crossAx val="1711248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400" b="0" i="0" u="none" strike="noStrike" kern="1200" spc="0" baseline="0">
                <a:solidFill>
                  <a:schemeClr val="tx1">
                    <a:lumMod val="65000"/>
                    <a:lumOff val="35000"/>
                  </a:schemeClr>
                </a:solidFill>
                <a:latin typeface="+mn-lt"/>
                <a:ea typeface="+mn-ea"/>
                <a:cs typeface="+mn-cs"/>
              </a:defRPr>
            </a:pPr>
            <a:r>
              <a:rPr lang="en-US" sz="400"/>
              <a:t> </a:t>
            </a:r>
          </a:p>
        </c:rich>
      </c:tx>
      <c:overlay val="0"/>
      <c:spPr>
        <a:noFill/>
        <a:ln>
          <a:noFill/>
        </a:ln>
        <a:effectLst/>
      </c:spPr>
      <c:txPr>
        <a:bodyPr rot="0" spcFirstLastPara="1" vertOverflow="ellipsis" vert="horz" wrap="square" anchor="ctr" anchorCtr="1"/>
        <a:lstStyle/>
        <a:p>
          <a:pPr>
            <a:defRPr sz="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239D9A"/>
              </a:gs>
              <a:gs pos="100000">
                <a:srgbClr val="33D1CD"/>
              </a:gs>
            </a:gsLst>
            <a:lin ang="0" scaled="1"/>
            <a:tileRect/>
          </a:gradFill>
          <a:ln w="104775">
            <a:gradFill>
              <a:gsLst>
                <a:gs pos="0">
                  <a:srgbClr val="239D9A"/>
                </a:gs>
                <a:gs pos="100000">
                  <a:srgbClr val="33D1CD"/>
                </a:gs>
              </a:gsLst>
              <a:lin ang="0" scaled="0"/>
            </a:gradFill>
          </a:ln>
          <a:effectLst/>
        </c:spPr>
        <c:marker>
          <c:symbol val="none"/>
        </c:marker>
        <c:dLbl>
          <c:idx val="0"/>
          <c:numFmt formatCode="[&gt;=1000000]0.0,,&quot;M&quot;;[&gt;=1000]0.0,&quot;K&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239D9A"/>
              </a:gs>
              <a:gs pos="100000">
                <a:srgbClr val="33D1CD"/>
              </a:gs>
            </a:gsLst>
            <a:lin ang="0" scaled="1"/>
            <a:tileRect/>
          </a:gradFill>
          <a:ln w="104775">
            <a:gradFill>
              <a:gsLst>
                <a:gs pos="0">
                  <a:srgbClr val="239D9A"/>
                </a:gs>
                <a:gs pos="100000">
                  <a:srgbClr val="33D1CD"/>
                </a:gs>
              </a:gsLst>
              <a:lin ang="0" scaled="0"/>
            </a:gradFill>
          </a:ln>
          <a:effectLst/>
        </c:spPr>
        <c:marker>
          <c:symbol val="none"/>
        </c:marker>
        <c:dLbl>
          <c:idx val="0"/>
          <c:numFmt formatCode="[&gt;=1000000]0.0,,&quot;M&quot;;[&gt;=1000]0.0,&quot;K&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239D9A"/>
              </a:gs>
              <a:gs pos="100000">
                <a:srgbClr val="33D1CD"/>
              </a:gs>
            </a:gsLst>
            <a:lin ang="0" scaled="1"/>
            <a:tileRect/>
          </a:gradFill>
          <a:ln w="104775">
            <a:gradFill>
              <a:gsLst>
                <a:gs pos="0">
                  <a:srgbClr val="239D9A"/>
                </a:gs>
                <a:gs pos="100000">
                  <a:srgbClr val="33D1CD"/>
                </a:gs>
              </a:gsLst>
              <a:lin ang="0" scaled="0"/>
            </a:gradFill>
          </a:ln>
          <a:effectLst/>
        </c:spPr>
        <c:marker>
          <c:symbol val="none"/>
        </c:marker>
        <c:dLbl>
          <c:idx val="0"/>
          <c:numFmt formatCode="[&gt;=1000000]0.0,,&quot;M&quot;;[&gt;=1000]0.0,&quot;K&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239D9A"/>
              </a:gs>
              <a:gs pos="100000">
                <a:srgbClr val="33D1CD"/>
              </a:gs>
            </a:gsLst>
            <a:lin ang="0" scaled="1"/>
            <a:tileRect/>
          </a:gradFill>
          <a:ln w="104775">
            <a:gradFill>
              <a:gsLst>
                <a:gs pos="0">
                  <a:srgbClr val="239D9A"/>
                </a:gs>
                <a:gs pos="100000">
                  <a:srgbClr val="33D1CD"/>
                </a:gs>
              </a:gsLst>
              <a:lin ang="0" scaled="0"/>
            </a:gradFill>
          </a:ln>
          <a:effectLst/>
        </c:spPr>
        <c:marker>
          <c:symbol val="none"/>
        </c:marker>
        <c:dLbl>
          <c:idx val="0"/>
          <c:numFmt formatCode="[&gt;=1000000]0.0,,&quot;M&quot;;[&gt;=1000]0.0,&quot;K&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noFill/>
          <a:ln w="139700">
            <a:gradFill>
              <a:gsLst>
                <a:gs pos="2000">
                  <a:srgbClr val="B450F4"/>
                </a:gs>
                <a:gs pos="23000">
                  <a:srgbClr val="B450F4"/>
                </a:gs>
                <a:gs pos="76000">
                  <a:srgbClr val="339EEF"/>
                </a:gs>
                <a:gs pos="100000">
                  <a:srgbClr val="24F6F7"/>
                </a:gs>
              </a:gsLst>
              <a:lin ang="5400000" scaled="1"/>
            </a:gradFill>
          </a:ln>
          <a:effectLst>
            <a:outerShdw blurRad="50800" dist="38100" dir="8100000" algn="tr" rotWithShape="0">
              <a:prstClr val="black">
                <a:alpha val="40000"/>
              </a:prstClr>
            </a:outerShdw>
          </a:effectLst>
        </c:spPr>
        <c:marker>
          <c:symbol val="none"/>
        </c:marker>
        <c:dLbl>
          <c:idx val="0"/>
          <c:numFmt formatCode="[&gt;=1000000]0.0,,&quot;M&quot;;[&gt;=1000]0.0,&quot;K&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noFill/>
          <a:ln w="139700">
            <a:gradFill>
              <a:gsLst>
                <a:gs pos="2000">
                  <a:srgbClr val="B450F4"/>
                </a:gs>
                <a:gs pos="23000">
                  <a:srgbClr val="B450F4"/>
                </a:gs>
                <a:gs pos="76000">
                  <a:srgbClr val="339EEF"/>
                </a:gs>
                <a:gs pos="100000">
                  <a:srgbClr val="24F6F7"/>
                </a:gs>
              </a:gsLst>
              <a:lin ang="5400000" scaled="1"/>
            </a:gradFill>
          </a:ln>
          <a:effectLst>
            <a:outerShdw blurRad="50800" dist="38100" dir="8100000" algn="tr" rotWithShape="0">
              <a:prstClr val="black">
                <a:alpha val="40000"/>
              </a:prstClr>
            </a:outerShdw>
          </a:effectLst>
        </c:spPr>
        <c:marker>
          <c:symbol val="none"/>
        </c:marker>
        <c:dLbl>
          <c:idx val="0"/>
          <c:numFmt formatCode="[&gt;=1000000]0.0,,&quot;M&quot;;[&gt;=1000]0.0,&quot;K&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noFill/>
          <a:ln w="139700">
            <a:gradFill>
              <a:gsLst>
                <a:gs pos="2000">
                  <a:srgbClr val="B450F4"/>
                </a:gs>
                <a:gs pos="23000">
                  <a:srgbClr val="B450F4"/>
                </a:gs>
                <a:gs pos="76000">
                  <a:srgbClr val="339EEF"/>
                </a:gs>
                <a:gs pos="100000">
                  <a:srgbClr val="24F6F7"/>
                </a:gs>
              </a:gsLst>
              <a:lin ang="5400000" scaled="1"/>
            </a:gradFill>
          </a:ln>
          <a:effectLst>
            <a:outerShdw blurRad="50800" dist="38100" dir="8100000" algn="tr" rotWithShape="0">
              <a:prstClr val="black">
                <a:alpha val="40000"/>
              </a:prstClr>
            </a:outerShdw>
          </a:effectLst>
        </c:spPr>
        <c:marker>
          <c:symbol val="none"/>
        </c:marker>
        <c:dLbl>
          <c:idx val="0"/>
          <c:numFmt formatCode="[&gt;=1000000]0.0,,&quot;M&quot;;[&gt;=1000]0.0,&quot;K&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noFill/>
          <a:ln w="139700">
            <a:gradFill>
              <a:gsLst>
                <a:gs pos="2000">
                  <a:srgbClr val="B450F4"/>
                </a:gs>
                <a:gs pos="23000">
                  <a:srgbClr val="B450F4"/>
                </a:gs>
                <a:gs pos="76000">
                  <a:srgbClr val="339EEF"/>
                </a:gs>
                <a:gs pos="100000">
                  <a:srgbClr val="24F6F7"/>
                </a:gs>
              </a:gsLst>
              <a:lin ang="5400000" scaled="1"/>
            </a:gradFill>
          </a:ln>
          <a:effectLst>
            <a:outerShdw blurRad="50800" dist="38100" dir="8100000" algn="tr" rotWithShape="0">
              <a:prstClr val="black">
                <a:alpha val="40000"/>
              </a:prstClr>
            </a:outerShdw>
          </a:effectLst>
        </c:spPr>
        <c:marker>
          <c:symbol val="none"/>
        </c:marker>
        <c:dLbl>
          <c:idx val="0"/>
          <c:numFmt formatCode="[&gt;=1000000]0.0,,&quot;M&quot;;[&gt;=1000]0.0,&quot;K&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noFill/>
          <a:ln w="139700">
            <a:gradFill>
              <a:gsLst>
                <a:gs pos="2000">
                  <a:srgbClr val="B450F4"/>
                </a:gs>
                <a:gs pos="23000">
                  <a:srgbClr val="B450F4"/>
                </a:gs>
                <a:gs pos="76000">
                  <a:srgbClr val="339EEF"/>
                </a:gs>
                <a:gs pos="100000">
                  <a:srgbClr val="24F6F7"/>
                </a:gs>
              </a:gsLst>
              <a:lin ang="5400000" scaled="1"/>
            </a:gradFill>
          </a:ln>
          <a:effectLst>
            <a:outerShdw blurRad="50800" dist="38100" dir="8100000" algn="tr" rotWithShape="0">
              <a:prstClr val="black">
                <a:alpha val="40000"/>
              </a:prstClr>
            </a:outerShdw>
          </a:effectLst>
        </c:spPr>
        <c:marker>
          <c:symbol val="none"/>
        </c:marker>
        <c:dLbl>
          <c:idx val="0"/>
          <c:numFmt formatCode="[&gt;=1000000]0.0,,&quot;M&quot;;[&gt;=1000]0.0,&quot;K&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21465157072694"/>
          <c:y val="0.16305093665034645"/>
          <c:w val="0.52712830432958058"/>
          <c:h val="0.68495013646048841"/>
        </c:manualLayout>
      </c:layout>
      <c:barChart>
        <c:barDir val="bar"/>
        <c:grouping val="clustered"/>
        <c:varyColors val="0"/>
        <c:ser>
          <c:idx val="0"/>
          <c:order val="0"/>
          <c:tx>
            <c:v>Series1</c:v>
          </c:tx>
          <c:spPr>
            <a:noFill/>
            <a:ln w="139700">
              <a:gradFill>
                <a:gsLst>
                  <a:gs pos="2000">
                    <a:srgbClr val="B450F4"/>
                  </a:gs>
                  <a:gs pos="23000">
                    <a:srgbClr val="B450F4"/>
                  </a:gs>
                  <a:gs pos="76000">
                    <a:srgbClr val="339EEF"/>
                  </a:gs>
                  <a:gs pos="100000">
                    <a:srgbClr val="24F6F7"/>
                  </a:gs>
                </a:gsLst>
                <a:lin ang="5400000" scaled="1"/>
              </a:gradFill>
            </a:ln>
            <a:effectLst>
              <a:outerShdw blurRad="50800" dist="38100" dir="8100000" algn="tr" rotWithShape="0">
                <a:prstClr val="black">
                  <a:alpha val="40000"/>
                </a:prstClr>
              </a:outerShdw>
            </a:effectLst>
          </c:spPr>
          <c:invertIfNegative val="0"/>
          <c:dLbls>
            <c:numFmt formatCode="[&gt;=1000000]0.0,,&quot;M&quot;;[&gt;=1000]0.0,&quot;K&quot;;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Influencer Marketing Campaign</c:v>
              </c:pt>
              <c:pt idx="1">
                <c:v>Cart Abandonment Campaign</c:v>
              </c:pt>
              <c:pt idx="2">
                <c:v>Flash Sale Campaign</c:v>
              </c:pt>
              <c:pt idx="3">
                <c:v>Seasonal Discount Campaign</c:v>
              </c:pt>
              <c:pt idx="4">
                <c:v>Loyalty Program Campaign</c:v>
              </c:pt>
              <c:pt idx="5">
                <c:v>Brand Awareness Campaign</c:v>
              </c:pt>
              <c:pt idx="6">
                <c:v>Search Engine Ads Campaign</c:v>
              </c:pt>
              <c:pt idx="7">
                <c:v>Email Promotion</c:v>
              </c:pt>
              <c:pt idx="8">
                <c:v>Social Media Boost Campaign</c:v>
              </c:pt>
              <c:pt idx="9">
                <c:v>New Product Launch</c:v>
              </c:pt>
              <c:pt idx="10">
                <c:v>Retargeting Campaign</c:v>
              </c:pt>
              <c:pt idx="11">
                <c:v>Summer Sale Campaign</c:v>
              </c:pt>
            </c:strLit>
          </c:cat>
          <c:val>
            <c:numLit>
              <c:formatCode>General</c:formatCode>
              <c:ptCount val="12"/>
              <c:pt idx="0">
                <c:v>150.81120000000001</c:v>
              </c:pt>
              <c:pt idx="1">
                <c:v>152.83999999999997</c:v>
              </c:pt>
              <c:pt idx="2">
                <c:v>225.06129999999999</c:v>
              </c:pt>
              <c:pt idx="3">
                <c:v>312.96969999999988</c:v>
              </c:pt>
              <c:pt idx="4">
                <c:v>326.84499999999991</c:v>
              </c:pt>
              <c:pt idx="5">
                <c:v>380.31999999999994</c:v>
              </c:pt>
              <c:pt idx="6">
                <c:v>589.56950000000006</c:v>
              </c:pt>
              <c:pt idx="7">
                <c:v>810.53029999999967</c:v>
              </c:pt>
              <c:pt idx="8">
                <c:v>838.07309999999927</c:v>
              </c:pt>
              <c:pt idx="9">
                <c:v>1050.5193999999992</c:v>
              </c:pt>
              <c:pt idx="10">
                <c:v>1502.4596999999987</c:v>
              </c:pt>
              <c:pt idx="11">
                <c:v>1815.635700000001</c:v>
              </c:pt>
            </c:numLit>
          </c:val>
          <c:extLst>
            <c:ext xmlns:c16="http://schemas.microsoft.com/office/drawing/2014/chart" uri="{C3380CC4-5D6E-409C-BE32-E72D297353CC}">
              <c16:uniqueId val="{00000000-CEBA-44E4-9731-CECB5285F1AC}"/>
            </c:ext>
          </c:extLst>
        </c:ser>
        <c:dLbls>
          <c:showLegendKey val="0"/>
          <c:showVal val="0"/>
          <c:showCatName val="0"/>
          <c:showSerName val="0"/>
          <c:showPercent val="0"/>
          <c:showBubbleSize val="0"/>
        </c:dLbls>
        <c:gapWidth val="372"/>
        <c:axId val="1072879920"/>
        <c:axId val="1072878000"/>
      </c:barChart>
      <c:catAx>
        <c:axId val="1072879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072878000"/>
        <c:crosses val="autoZero"/>
        <c:auto val="1"/>
        <c:lblAlgn val="ctr"/>
        <c:lblOffset val="100"/>
        <c:noMultiLvlLbl val="0"/>
      </c:catAx>
      <c:valAx>
        <c:axId val="1072878000"/>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79DF6"/>
                </a:solidFill>
                <a:latin typeface="+mn-lt"/>
                <a:ea typeface="+mn-ea"/>
                <a:cs typeface="+mn-cs"/>
              </a:defRPr>
            </a:pPr>
            <a:endParaRPr lang="en-US"/>
          </a:p>
        </c:txPr>
        <c:crossAx val="1072879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Processing!$D$9" lockText="1" noThreeD="1"/>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2.xml"/><Relationship Id="rId26" Type="http://schemas.openxmlformats.org/officeDocument/2006/relationships/hyperlink" Target="#DATASET!A1"/><Relationship Id="rId3" Type="http://schemas.openxmlformats.org/officeDocument/2006/relationships/image" Target="../media/image3.png"/><Relationship Id="rId21" Type="http://schemas.openxmlformats.org/officeDocument/2006/relationships/chart" Target="../charts/chart5.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xml"/><Relationship Id="rId25" Type="http://schemas.openxmlformats.org/officeDocument/2006/relationships/hyperlink" Target="#Pivot!A1"/><Relationship Id="rId2" Type="http://schemas.openxmlformats.org/officeDocument/2006/relationships/image" Target="../media/image2.svg"/><Relationship Id="rId16" Type="http://schemas.microsoft.com/office/2007/relationships/hdphoto" Target="../media/hdphoto1.wdp"/><Relationship Id="rId20"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chart" Target="../charts/chart8.xml"/><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chart" Target="../charts/chart7.xml"/><Relationship Id="rId28" Type="http://schemas.openxmlformats.org/officeDocument/2006/relationships/hyperlink" Target="#DASHBOARD!A1"/><Relationship Id="rId10" Type="http://schemas.openxmlformats.org/officeDocument/2006/relationships/image" Target="../media/image10.svg"/><Relationship Id="rId19"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6.xml"/><Relationship Id="rId27" Type="http://schemas.openxmlformats.org/officeDocument/2006/relationships/hyperlink" Target="#Insights!A1"/></Relationships>
</file>

<file path=xl/drawings/_rels/drawing3.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hyperlink" Target="#Insights!A1"/><Relationship Id="rId3" Type="http://schemas.openxmlformats.org/officeDocument/2006/relationships/image" Target="../media/image3.png"/><Relationship Id="rId7" Type="http://schemas.openxmlformats.org/officeDocument/2006/relationships/image" Target="../media/image9.png"/><Relationship Id="rId12" Type="http://schemas.openxmlformats.org/officeDocument/2006/relationships/hyperlink" Target="#DASHBOARD!A1"/><Relationship Id="rId2" Type="http://schemas.openxmlformats.org/officeDocument/2006/relationships/image" Target="../media/image17.svg"/><Relationship Id="rId1" Type="http://schemas.openxmlformats.org/officeDocument/2006/relationships/image" Target="../media/image16.png"/><Relationship Id="rId6" Type="http://schemas.openxmlformats.org/officeDocument/2006/relationships/image" Target="../media/image19.svg"/><Relationship Id="rId11" Type="http://schemas.openxmlformats.org/officeDocument/2006/relationships/hyperlink" Target="#DATASET!A1"/><Relationship Id="rId5" Type="http://schemas.openxmlformats.org/officeDocument/2006/relationships/image" Target="../media/image18.png"/><Relationship Id="rId10" Type="http://schemas.openxmlformats.org/officeDocument/2006/relationships/hyperlink" Target="#Pivot!A1"/><Relationship Id="rId4" Type="http://schemas.openxmlformats.org/officeDocument/2006/relationships/image" Target="../media/image4.svg"/><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400050</xdr:colOff>
      <xdr:row>42</xdr:row>
      <xdr:rowOff>57150</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0" y="0"/>
          <a:ext cx="15640050" cy="8058150"/>
        </a:xfrm>
        <a:prstGeom prst="rect">
          <a:avLst/>
        </a:prstGeom>
        <a:gradFill flip="none" rotWithShape="1">
          <a:gsLst>
            <a:gs pos="0">
              <a:srgbClr val="0376A4"/>
            </a:gs>
            <a:gs pos="60000">
              <a:srgbClr val="000B27"/>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199093</xdr:colOff>
      <xdr:row>1</xdr:row>
      <xdr:rowOff>36118</xdr:rowOff>
    </xdr:from>
    <xdr:to>
      <xdr:col>22</xdr:col>
      <xdr:colOff>414291</xdr:colOff>
      <xdr:row>36</xdr:row>
      <xdr:rowOff>62346</xdr:rowOff>
    </xdr:to>
    <xdr:sp macro="" textlink="">
      <xdr:nvSpPr>
        <xdr:cNvPr id="3" name="Rectangle: Rounded Corners 2">
          <a:extLst>
            <a:ext uri="{FF2B5EF4-FFF2-40B4-BE49-F238E27FC236}">
              <a16:creationId xmlns:a16="http://schemas.microsoft.com/office/drawing/2014/main" id="{00000000-0008-0000-0100-000003000000}"/>
            </a:ext>
          </a:extLst>
        </xdr:cNvPr>
        <xdr:cNvSpPr/>
      </xdr:nvSpPr>
      <xdr:spPr>
        <a:xfrm>
          <a:off x="199093" y="221069"/>
          <a:ext cx="13561295" cy="6499529"/>
        </a:xfrm>
        <a:prstGeom prst="roundRect">
          <a:avLst>
            <a:gd name="adj" fmla="val 4060"/>
          </a:avLst>
        </a:prstGeom>
        <a:gradFill>
          <a:gsLst>
            <a:gs pos="0">
              <a:srgbClr val="1C1C58"/>
            </a:gs>
            <a:gs pos="81000">
              <a:srgbClr val="010103"/>
            </a:gs>
          </a:gsLst>
          <a:path path="circle">
            <a:fillToRect r="100000" b="100000"/>
          </a:path>
        </a:gradFill>
        <a:ln w="9525">
          <a:gradFill flip="none" rotWithShape="1">
            <a:gsLst>
              <a:gs pos="75000">
                <a:srgbClr val="000B27"/>
              </a:gs>
              <a:gs pos="60000">
                <a:srgbClr val="1C1C58"/>
              </a:gs>
              <a:gs pos="0">
                <a:schemeClr val="bg1"/>
              </a:gs>
              <a:gs pos="42000">
                <a:srgbClr val="29BFFB"/>
              </a:gs>
              <a:gs pos="100000">
                <a:srgbClr val="9E78F9"/>
              </a:gs>
            </a:gsLst>
            <a:path path="circle">
              <a:fillToRect r="100000" b="100000"/>
            </a:path>
            <a:tileRect l="-100000" t="-100000"/>
          </a:gradFill>
        </a:ln>
        <a:effectLst>
          <a:outerShdw blurRad="381000" dist="114300" dir="13500000" algn="br" rotWithShape="0">
            <a:srgbClr val="00B0F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362643</xdr:colOff>
      <xdr:row>10</xdr:row>
      <xdr:rowOff>63211</xdr:rowOff>
    </xdr:from>
    <xdr:to>
      <xdr:col>3</xdr:col>
      <xdr:colOff>362643</xdr:colOff>
      <xdr:row>12</xdr:row>
      <xdr:rowOff>146165</xdr:rowOff>
    </xdr:to>
    <xdr:sp macro="" textlink="">
      <xdr:nvSpPr>
        <xdr:cNvPr id="4" name="Rectangle: Rounded Corners 3">
          <a:extLst>
            <a:ext uri="{FF2B5EF4-FFF2-40B4-BE49-F238E27FC236}">
              <a16:creationId xmlns:a16="http://schemas.microsoft.com/office/drawing/2014/main" id="{00000000-0008-0000-0100-000004000000}"/>
            </a:ext>
          </a:extLst>
        </xdr:cNvPr>
        <xdr:cNvSpPr/>
      </xdr:nvSpPr>
      <xdr:spPr>
        <a:xfrm>
          <a:off x="362643" y="1864302"/>
          <a:ext cx="1828800" cy="443172"/>
        </a:xfrm>
        <a:prstGeom prst="roundRect">
          <a:avLst>
            <a:gd name="adj" fmla="val 20663"/>
          </a:avLst>
        </a:prstGeom>
        <a:gradFill flip="none" rotWithShape="1">
          <a:gsLst>
            <a:gs pos="41000">
              <a:srgbClr val="3086ED"/>
            </a:gs>
            <a:gs pos="100000">
              <a:srgbClr val="4226AE"/>
            </a:gs>
            <a:gs pos="0">
              <a:srgbClr val="6FB3F1"/>
            </a:gs>
          </a:gsLst>
          <a:lin ang="2700000" scaled="1"/>
          <a:tileRect/>
        </a:gradFill>
        <a:ln w="9525">
          <a:gradFill flip="none" rotWithShape="1">
            <a:gsLst>
              <a:gs pos="0">
                <a:schemeClr val="accent1">
                  <a:lumMod val="5000"/>
                  <a:lumOff val="95000"/>
                </a:schemeClr>
              </a:gs>
              <a:gs pos="39000">
                <a:srgbClr val="4226AE"/>
              </a:gs>
              <a:gs pos="100000">
                <a:srgbClr val="3086ED"/>
              </a:gs>
            </a:gsLst>
            <a:lin ang="2700000" scaled="1"/>
            <a:tileRect/>
          </a:gradFill>
        </a:ln>
        <a:effectLst>
          <a:outerShdw blurRad="342900" dist="152400" dir="5400000" algn="t" rotWithShape="0">
            <a:srgbClr val="4226AE">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a:solidFill>
              <a:schemeClr val="lt1"/>
            </a:solidFill>
            <a:latin typeface="+mn-lt"/>
            <a:ea typeface="+mn-ea"/>
            <a:cs typeface="+mn-cs"/>
          </a:endParaRPr>
        </a:p>
      </xdr:txBody>
    </xdr:sp>
    <xdr:clientData/>
  </xdr:twoCellAnchor>
  <xdr:twoCellAnchor>
    <xdr:from>
      <xdr:col>0</xdr:col>
      <xdr:colOff>362643</xdr:colOff>
      <xdr:row>1</xdr:row>
      <xdr:rowOff>161405</xdr:rowOff>
    </xdr:from>
    <xdr:to>
      <xdr:col>3</xdr:col>
      <xdr:colOff>362643</xdr:colOff>
      <xdr:row>9</xdr:row>
      <xdr:rowOff>42256</xdr:rowOff>
    </xdr:to>
    <xdr:sp macro="" textlink="">
      <xdr:nvSpPr>
        <xdr:cNvPr id="5" name="Rectangle: Rounded Corners 4">
          <a:extLst>
            <a:ext uri="{FF2B5EF4-FFF2-40B4-BE49-F238E27FC236}">
              <a16:creationId xmlns:a16="http://schemas.microsoft.com/office/drawing/2014/main" id="{00000000-0008-0000-0100-000005000000}"/>
            </a:ext>
          </a:extLst>
        </xdr:cNvPr>
        <xdr:cNvSpPr/>
      </xdr:nvSpPr>
      <xdr:spPr>
        <a:xfrm>
          <a:off x="362643" y="341514"/>
          <a:ext cx="1828800" cy="1321724"/>
        </a:xfrm>
        <a:prstGeom prst="roundRect">
          <a:avLst>
            <a:gd name="adj" fmla="val 13200"/>
          </a:avLst>
        </a:prstGeom>
        <a:gradFill flip="none" rotWithShape="1">
          <a:gsLst>
            <a:gs pos="63000">
              <a:srgbClr val="050B29"/>
            </a:gs>
            <a:gs pos="100000">
              <a:srgbClr val="105BA0"/>
            </a:gs>
          </a:gsLst>
          <a:path path="circle">
            <a:fillToRect l="50000" t="130000" r="50000" b="-30000"/>
          </a:path>
          <a:tileRect/>
        </a:gradFill>
        <a:ln w="9525">
          <a:solidFill>
            <a:srgbClr val="00164C"/>
          </a:solidFill>
        </a:ln>
        <a:effectLst>
          <a:outerShdw blurRad="190500" dist="1270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134043</xdr:colOff>
      <xdr:row>10</xdr:row>
      <xdr:rowOff>136639</xdr:rowOff>
    </xdr:from>
    <xdr:to>
      <xdr:col>3</xdr:col>
      <xdr:colOff>286443</xdr:colOff>
      <xdr:row>12</xdr:row>
      <xdr:rowOff>79489</xdr:rowOff>
    </xdr:to>
    <xdr:sp macro="" textlink="">
      <xdr:nvSpPr>
        <xdr:cNvPr id="6" name="TextBox 27">
          <a:extLst>
            <a:ext uri="{FF2B5EF4-FFF2-40B4-BE49-F238E27FC236}">
              <a16:creationId xmlns:a16="http://schemas.microsoft.com/office/drawing/2014/main" id="{00000000-0008-0000-0100-000006000000}"/>
            </a:ext>
          </a:extLst>
        </xdr:cNvPr>
        <xdr:cNvSpPr txBox="1"/>
      </xdr:nvSpPr>
      <xdr:spPr>
        <a:xfrm>
          <a:off x="743643" y="1937730"/>
          <a:ext cx="1371600" cy="303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600" b="0" i="0" u="none" strike="noStrike">
              <a:solidFill>
                <a:schemeClr val="bg1"/>
              </a:solidFill>
              <a:latin typeface="Aptos Narrow"/>
            </a:rPr>
            <a:t>Dashboard</a:t>
          </a:r>
          <a:endParaRPr lang="ru-RU" sz="1600">
            <a:solidFill>
              <a:schemeClr val="bg1"/>
            </a:solidFill>
          </a:endParaRPr>
        </a:p>
      </xdr:txBody>
    </xdr:sp>
    <xdr:clientData/>
  </xdr:twoCellAnchor>
  <xdr:twoCellAnchor editAs="oneCell">
    <xdr:from>
      <xdr:col>0</xdr:col>
      <xdr:colOff>481484</xdr:colOff>
      <xdr:row>10</xdr:row>
      <xdr:rowOff>157594</xdr:rowOff>
    </xdr:from>
    <xdr:to>
      <xdr:col>1</xdr:col>
      <xdr:colOff>146204</xdr:colOff>
      <xdr:row>12</xdr:row>
      <xdr:rowOff>64249</xdr:rowOff>
    </xdr:to>
    <xdr:pic>
      <xdr:nvPicPr>
        <xdr:cNvPr id="7" name="Graphic 28" descr="Signal with solid fill">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1484" y="2007109"/>
          <a:ext cx="271361" cy="276557"/>
        </a:xfrm>
        <a:prstGeom prst="rect">
          <a:avLst/>
        </a:prstGeom>
      </xdr:spPr>
    </xdr:pic>
    <xdr:clientData/>
  </xdr:twoCellAnchor>
  <xdr:twoCellAnchor>
    <xdr:from>
      <xdr:col>1</xdr:col>
      <xdr:colOff>135609</xdr:colOff>
      <xdr:row>14</xdr:row>
      <xdr:rowOff>101396</xdr:rowOff>
    </xdr:from>
    <xdr:to>
      <xdr:col>3</xdr:col>
      <xdr:colOff>286443</xdr:colOff>
      <xdr:row>16</xdr:row>
      <xdr:rowOff>47017</xdr:rowOff>
    </xdr:to>
    <xdr:sp macro="" textlink="">
      <xdr:nvSpPr>
        <xdr:cNvPr id="31" name="TextBox 29">
          <a:extLst>
            <a:ext uri="{FF2B5EF4-FFF2-40B4-BE49-F238E27FC236}">
              <a16:creationId xmlns:a16="http://schemas.microsoft.com/office/drawing/2014/main" id="{00000000-0008-0000-0100-00001F000000}"/>
            </a:ext>
          </a:extLst>
        </xdr:cNvPr>
        <xdr:cNvSpPr txBox="1"/>
      </xdr:nvSpPr>
      <xdr:spPr>
        <a:xfrm>
          <a:off x="742250" y="2690716"/>
          <a:ext cx="1364115" cy="315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600" b="0" i="0" u="none" strike="noStrike">
              <a:solidFill>
                <a:srgbClr val="6FB3F1"/>
              </a:solidFill>
              <a:latin typeface="Aptos Narrow"/>
            </a:rPr>
            <a:t>Analysis</a:t>
          </a:r>
          <a:endParaRPr lang="ru-RU" sz="2800">
            <a:solidFill>
              <a:srgbClr val="6FB3F1"/>
            </a:solidFill>
          </a:endParaRPr>
        </a:p>
      </xdr:txBody>
    </xdr:sp>
    <xdr:clientData/>
  </xdr:twoCellAnchor>
  <xdr:twoCellAnchor>
    <xdr:from>
      <xdr:col>0</xdr:col>
      <xdr:colOff>480753</xdr:colOff>
      <xdr:row>14</xdr:row>
      <xdr:rowOff>155940</xdr:rowOff>
    </xdr:from>
    <xdr:to>
      <xdr:col>1</xdr:col>
      <xdr:colOff>146935</xdr:colOff>
      <xdr:row>16</xdr:row>
      <xdr:rowOff>37873</xdr:rowOff>
    </xdr:to>
    <xdr:pic>
      <xdr:nvPicPr>
        <xdr:cNvPr id="32" name="Graphic 34">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rcRect/>
        <a:stretch/>
      </xdr:blipFill>
      <xdr:spPr>
        <a:xfrm>
          <a:off x="480753" y="2745260"/>
          <a:ext cx="272823" cy="251836"/>
        </a:xfrm>
        <a:prstGeom prst="rect">
          <a:avLst/>
        </a:prstGeom>
      </xdr:spPr>
    </xdr:pic>
    <xdr:clientData/>
  </xdr:twoCellAnchor>
  <xdr:twoCellAnchor>
    <xdr:from>
      <xdr:col>1</xdr:col>
      <xdr:colOff>135716</xdr:colOff>
      <xdr:row>18</xdr:row>
      <xdr:rowOff>66153</xdr:rowOff>
    </xdr:from>
    <xdr:to>
      <xdr:col>3</xdr:col>
      <xdr:colOff>286443</xdr:colOff>
      <xdr:row>20</xdr:row>
      <xdr:rowOff>11774</xdr:rowOff>
    </xdr:to>
    <xdr:sp macro="" textlink="">
      <xdr:nvSpPr>
        <xdr:cNvPr id="29" name="TextBox 30">
          <a:extLst>
            <a:ext uri="{FF2B5EF4-FFF2-40B4-BE49-F238E27FC236}">
              <a16:creationId xmlns:a16="http://schemas.microsoft.com/office/drawing/2014/main" id="{00000000-0008-0000-0100-00001D000000}"/>
            </a:ext>
          </a:extLst>
        </xdr:cNvPr>
        <xdr:cNvSpPr txBox="1"/>
      </xdr:nvSpPr>
      <xdr:spPr>
        <a:xfrm>
          <a:off x="742357" y="3395279"/>
          <a:ext cx="1364008" cy="315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600" b="0" i="0" u="none" strike="noStrike">
              <a:solidFill>
                <a:srgbClr val="6FB3F1"/>
              </a:solidFill>
              <a:latin typeface="Aptos Narrow"/>
            </a:rPr>
            <a:t>Dataset</a:t>
          </a:r>
          <a:endParaRPr lang="ru-RU" sz="2800">
            <a:solidFill>
              <a:srgbClr val="6FB3F1"/>
            </a:solidFill>
          </a:endParaRPr>
        </a:p>
      </xdr:txBody>
    </xdr:sp>
    <xdr:clientData/>
  </xdr:twoCellAnchor>
  <xdr:twoCellAnchor>
    <xdr:from>
      <xdr:col>1</xdr:col>
      <xdr:colOff>135522</xdr:colOff>
      <xdr:row>22</xdr:row>
      <xdr:rowOff>33681</xdr:rowOff>
    </xdr:from>
    <xdr:to>
      <xdr:col>3</xdr:col>
      <xdr:colOff>286443</xdr:colOff>
      <xdr:row>23</xdr:row>
      <xdr:rowOff>156640</xdr:rowOff>
    </xdr:to>
    <xdr:sp macro="" textlink="">
      <xdr:nvSpPr>
        <xdr:cNvPr id="22" name="TextBox 31">
          <a:extLst>
            <a:ext uri="{FF2B5EF4-FFF2-40B4-BE49-F238E27FC236}">
              <a16:creationId xmlns:a16="http://schemas.microsoft.com/office/drawing/2014/main" id="{00000000-0008-0000-0100-000016000000}"/>
            </a:ext>
          </a:extLst>
        </xdr:cNvPr>
        <xdr:cNvSpPr txBox="1"/>
      </xdr:nvSpPr>
      <xdr:spPr>
        <a:xfrm>
          <a:off x="742163" y="4102613"/>
          <a:ext cx="1364202" cy="307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600">
              <a:solidFill>
                <a:srgbClr val="6FB3F1"/>
              </a:solidFill>
              <a:latin typeface="Aptos Narrow"/>
            </a:rPr>
            <a:t>Key Insights</a:t>
          </a:r>
          <a:endParaRPr lang="ru-RU" sz="2800">
            <a:solidFill>
              <a:srgbClr val="6FB3F1"/>
            </a:solidFill>
          </a:endParaRPr>
        </a:p>
      </xdr:txBody>
    </xdr:sp>
    <xdr:clientData/>
  </xdr:twoCellAnchor>
  <xdr:twoCellAnchor>
    <xdr:from>
      <xdr:col>0</xdr:col>
      <xdr:colOff>504308</xdr:colOff>
      <xdr:row>22</xdr:row>
      <xdr:rowOff>62784</xdr:rowOff>
    </xdr:from>
    <xdr:to>
      <xdr:col>1</xdr:col>
      <xdr:colOff>123380</xdr:colOff>
      <xdr:row>23</xdr:row>
      <xdr:rowOff>148193</xdr:rowOff>
    </xdr:to>
    <xdr:pic>
      <xdr:nvPicPr>
        <xdr:cNvPr id="23" name="Graphic 109">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a:stretch/>
      </xdr:blipFill>
      <xdr:spPr>
        <a:xfrm>
          <a:off x="504308" y="4131716"/>
          <a:ext cx="225713" cy="270360"/>
        </a:xfrm>
        <a:prstGeom prst="rect">
          <a:avLst/>
        </a:prstGeom>
      </xdr:spPr>
    </xdr:pic>
    <xdr:clientData/>
  </xdr:twoCellAnchor>
  <xdr:twoCellAnchor>
    <xdr:from>
      <xdr:col>3</xdr:col>
      <xdr:colOff>505691</xdr:colOff>
      <xdr:row>1</xdr:row>
      <xdr:rowOff>145473</xdr:rowOff>
    </xdr:from>
    <xdr:to>
      <xdr:col>22</xdr:col>
      <xdr:colOff>288524</xdr:colOff>
      <xdr:row>9</xdr:row>
      <xdr:rowOff>55418</xdr:rowOff>
    </xdr:to>
    <xdr:grpSp>
      <xdr:nvGrpSpPr>
        <xdr:cNvPr id="12" name="Group 11">
          <a:extLst>
            <a:ext uri="{FF2B5EF4-FFF2-40B4-BE49-F238E27FC236}">
              <a16:creationId xmlns:a16="http://schemas.microsoft.com/office/drawing/2014/main" id="{00000000-0008-0000-0100-00000C000000}"/>
            </a:ext>
          </a:extLst>
        </xdr:cNvPr>
        <xdr:cNvGrpSpPr/>
      </xdr:nvGrpSpPr>
      <xdr:grpSpPr>
        <a:xfrm>
          <a:off x="2325613" y="330424"/>
          <a:ext cx="11309008" cy="1389557"/>
          <a:chOff x="0" y="0"/>
          <a:chExt cx="11231880" cy="746759"/>
        </a:xfrm>
      </xdr:grpSpPr>
      <xdr:sp macro="" textlink="">
        <xdr:nvSpPr>
          <xdr:cNvPr id="20" name="Rectangle: Rounded Corners 19">
            <a:extLst>
              <a:ext uri="{FF2B5EF4-FFF2-40B4-BE49-F238E27FC236}">
                <a16:creationId xmlns:a16="http://schemas.microsoft.com/office/drawing/2014/main" id="{00000000-0008-0000-0100-000014000000}"/>
              </a:ext>
            </a:extLst>
          </xdr:cNvPr>
          <xdr:cNvSpPr/>
        </xdr:nvSpPr>
        <xdr:spPr>
          <a:xfrm>
            <a:off x="0" y="0"/>
            <a:ext cx="11231880" cy="746759"/>
          </a:xfrm>
          <a:prstGeom prst="roundRect">
            <a:avLst>
              <a:gd name="adj" fmla="val 18943"/>
            </a:avLst>
          </a:prstGeom>
          <a:gradFill flip="none" rotWithShape="1">
            <a:gsLst>
              <a:gs pos="0">
                <a:srgbClr val="901160"/>
              </a:gs>
              <a:gs pos="19000">
                <a:srgbClr val="190E5E"/>
              </a:gs>
              <a:gs pos="100000">
                <a:srgbClr val="00052B"/>
              </a:gs>
            </a:gsLst>
            <a:lin ang="8400000" scaled="0"/>
            <a:tileRect/>
          </a:gradFill>
          <a:ln w="9525">
            <a:gradFill>
              <a:gsLst>
                <a:gs pos="86014">
                  <a:srgbClr val="261AA8"/>
                </a:gs>
                <a:gs pos="0">
                  <a:srgbClr val="F31DA1"/>
                </a:gs>
                <a:gs pos="56000">
                  <a:srgbClr val="0070C0"/>
                </a:gs>
              </a:gsLst>
              <a:lin ang="8400000" scaled="0"/>
            </a:gradFill>
          </a:ln>
          <a:effectLst>
            <a:outerShdw blurRad="4445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800" kern="1200">
              <a:solidFill>
                <a:schemeClr val="lt1"/>
              </a:solidFill>
              <a:latin typeface="+mn-lt"/>
              <a:ea typeface="+mn-ea"/>
              <a:cs typeface="+mn-cs"/>
            </a:endParaRPr>
          </a:p>
        </xdr:txBody>
      </xdr:sp>
      <xdr:sp macro="" textlink="">
        <xdr:nvSpPr>
          <xdr:cNvPr id="21" name="Rectangle: Rounded Corners 20">
            <a:extLst>
              <a:ext uri="{FF2B5EF4-FFF2-40B4-BE49-F238E27FC236}">
                <a16:creationId xmlns:a16="http://schemas.microsoft.com/office/drawing/2014/main" id="{00000000-0008-0000-0100-000015000000}"/>
              </a:ext>
            </a:extLst>
          </xdr:cNvPr>
          <xdr:cNvSpPr/>
        </xdr:nvSpPr>
        <xdr:spPr>
          <a:xfrm>
            <a:off x="0" y="0"/>
            <a:ext cx="11231880" cy="746759"/>
          </a:xfrm>
          <a:prstGeom prst="roundRect">
            <a:avLst>
              <a:gd name="adj" fmla="val 18943"/>
            </a:avLst>
          </a:prstGeom>
          <a:gradFill flip="none" rotWithShape="1">
            <a:gsLst>
              <a:gs pos="0">
                <a:srgbClr val="901160"/>
              </a:gs>
              <a:gs pos="19000">
                <a:srgbClr val="190E5E"/>
              </a:gs>
              <a:gs pos="100000">
                <a:srgbClr val="00052B"/>
              </a:gs>
            </a:gsLst>
            <a:lin ang="8400000" scaled="0"/>
            <a:tileRect/>
          </a:gradFill>
          <a:ln w="9525">
            <a:gradFill>
              <a:gsLst>
                <a:gs pos="86014">
                  <a:srgbClr val="261AA8"/>
                </a:gs>
                <a:gs pos="0">
                  <a:srgbClr val="F31DA1"/>
                </a:gs>
                <a:gs pos="56000">
                  <a:srgbClr val="0070C0"/>
                </a:gs>
              </a:gsLst>
              <a:lin ang="8400000" scaled="0"/>
            </a:gradFill>
          </a:ln>
          <a:effectLst>
            <a:outerShdw blurRad="4445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800" kern="1200">
              <a:solidFill>
                <a:schemeClr val="lt1"/>
              </a:solidFill>
              <a:latin typeface="+mn-lt"/>
              <a:ea typeface="+mn-ea"/>
              <a:cs typeface="+mn-cs"/>
            </a:endParaRPr>
          </a:p>
        </xdr:txBody>
      </xdr:sp>
    </xdr:grpSp>
    <xdr:clientData/>
  </xdr:twoCellAnchor>
  <xdr:twoCellAnchor>
    <xdr:from>
      <xdr:col>3</xdr:col>
      <xdr:colOff>492462</xdr:colOff>
      <xdr:row>9</xdr:row>
      <xdr:rowOff>124690</xdr:rowOff>
    </xdr:from>
    <xdr:to>
      <xdr:col>9</xdr:col>
      <xdr:colOff>414291</xdr:colOff>
      <xdr:row>21</xdr:row>
      <xdr:rowOff>145472</xdr:rowOff>
    </xdr:to>
    <xdr:sp macro="" textlink="">
      <xdr:nvSpPr>
        <xdr:cNvPr id="13" name="Rectangle: Rounded Corners 12">
          <a:extLst>
            <a:ext uri="{FF2B5EF4-FFF2-40B4-BE49-F238E27FC236}">
              <a16:creationId xmlns:a16="http://schemas.microsoft.com/office/drawing/2014/main" id="{00000000-0008-0000-0100-00000D000000}"/>
            </a:ext>
          </a:extLst>
        </xdr:cNvPr>
        <xdr:cNvSpPr/>
      </xdr:nvSpPr>
      <xdr:spPr>
        <a:xfrm>
          <a:off x="2321262" y="1760059"/>
          <a:ext cx="3579429" cy="2201275"/>
        </a:xfrm>
        <a:prstGeom prst="roundRect">
          <a:avLst>
            <a:gd name="adj" fmla="val 11970"/>
          </a:avLst>
        </a:prstGeom>
        <a:gradFill flip="none" rotWithShape="1">
          <a:gsLst>
            <a:gs pos="15000">
              <a:srgbClr val="136DBF"/>
            </a:gs>
            <a:gs pos="76000">
              <a:srgbClr val="050B29"/>
            </a:gs>
          </a:gsLst>
          <a:path path="circle">
            <a:fillToRect l="50000" t="-80000" r="50000" b="180000"/>
          </a:path>
          <a:tileRect/>
        </a:gradFill>
        <a:ln w="9525">
          <a:solidFill>
            <a:srgbClr val="00164C"/>
          </a:solidFill>
        </a:ln>
        <a:effectLst>
          <a:outerShdw blurRad="190500" dist="1270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2">
                <a:lumMod val="50000"/>
                <a:lumOff val="50000"/>
              </a:schemeClr>
            </a:solidFill>
          </a:endParaRPr>
        </a:p>
      </xdr:txBody>
    </xdr:sp>
    <xdr:clientData/>
  </xdr:twoCellAnchor>
  <xdr:twoCellAnchor>
    <xdr:from>
      <xdr:col>9</xdr:col>
      <xdr:colOff>517864</xdr:colOff>
      <xdr:row>9</xdr:row>
      <xdr:rowOff>124690</xdr:rowOff>
    </xdr:from>
    <xdr:to>
      <xdr:col>14</xdr:col>
      <xdr:colOff>574964</xdr:colOff>
      <xdr:row>21</xdr:row>
      <xdr:rowOff>145472</xdr:rowOff>
    </xdr:to>
    <xdr:sp macro="" textlink="">
      <xdr:nvSpPr>
        <xdr:cNvPr id="15" name="Rectangle: Rounded Corners 14">
          <a:extLst>
            <a:ext uri="{FF2B5EF4-FFF2-40B4-BE49-F238E27FC236}">
              <a16:creationId xmlns:a16="http://schemas.microsoft.com/office/drawing/2014/main" id="{00000000-0008-0000-0100-00000F000000}"/>
            </a:ext>
          </a:extLst>
        </xdr:cNvPr>
        <xdr:cNvSpPr/>
      </xdr:nvSpPr>
      <xdr:spPr>
        <a:xfrm>
          <a:off x="5977631" y="1789253"/>
          <a:ext cx="3090304" cy="2240200"/>
        </a:xfrm>
        <a:prstGeom prst="roundRect">
          <a:avLst>
            <a:gd name="adj" fmla="val 7085"/>
          </a:avLst>
        </a:prstGeom>
        <a:gradFill flip="none" rotWithShape="1">
          <a:gsLst>
            <a:gs pos="0">
              <a:srgbClr val="0E133F"/>
            </a:gs>
            <a:gs pos="64000">
              <a:srgbClr val="050B29"/>
            </a:gs>
          </a:gsLst>
          <a:path path="circle">
            <a:fillToRect l="100000" b="100000"/>
          </a:path>
          <a:tileRect t="-100000" r="-100000"/>
        </a:gradFill>
        <a:ln w="9525">
          <a:solidFill>
            <a:srgbClr val="062542"/>
          </a:solidFill>
        </a:ln>
        <a:effectLst>
          <a:outerShdw blurRad="190500" dist="127000" dir="8100000" algn="tr" rotWithShape="0">
            <a:prstClr val="black">
              <a:alpha val="9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tx2">
                <a:lumMod val="50000"/>
                <a:lumOff val="50000"/>
              </a:schemeClr>
            </a:solidFill>
            <a:latin typeface="+mn-lt"/>
            <a:ea typeface="+mn-ea"/>
            <a:cs typeface="+mn-cs"/>
          </a:endParaRPr>
        </a:p>
      </xdr:txBody>
    </xdr:sp>
    <xdr:clientData/>
  </xdr:twoCellAnchor>
  <xdr:twoCellAnchor>
    <xdr:from>
      <xdr:col>17</xdr:col>
      <xdr:colOff>466078</xdr:colOff>
      <xdr:row>22</xdr:row>
      <xdr:rowOff>103909</xdr:rowOff>
    </xdr:from>
    <xdr:to>
      <xdr:col>22</xdr:col>
      <xdr:colOff>162755</xdr:colOff>
      <xdr:row>35</xdr:row>
      <xdr:rowOff>99237</xdr:rowOff>
    </xdr:to>
    <xdr:sp macro="" textlink="">
      <xdr:nvSpPr>
        <xdr:cNvPr id="16" name="Rectangle: Rounded Corners 15">
          <a:extLst>
            <a:ext uri="{FF2B5EF4-FFF2-40B4-BE49-F238E27FC236}">
              <a16:creationId xmlns:a16="http://schemas.microsoft.com/office/drawing/2014/main" id="{00000000-0008-0000-0100-000010000000}"/>
            </a:ext>
          </a:extLst>
        </xdr:cNvPr>
        <xdr:cNvSpPr/>
      </xdr:nvSpPr>
      <xdr:spPr>
        <a:xfrm>
          <a:off x="10778971" y="4172841"/>
          <a:ext cx="2729881" cy="2399697"/>
        </a:xfrm>
        <a:prstGeom prst="roundRect">
          <a:avLst>
            <a:gd name="adj" fmla="val 9192"/>
          </a:avLst>
        </a:prstGeom>
        <a:gradFill flip="none" rotWithShape="1">
          <a:gsLst>
            <a:gs pos="0">
              <a:srgbClr val="171952"/>
            </a:gs>
            <a:gs pos="64000">
              <a:srgbClr val="050B29"/>
            </a:gs>
          </a:gsLst>
          <a:path path="circle">
            <a:fillToRect l="100000" b="100000"/>
          </a:path>
          <a:tileRect t="-100000" r="-100000"/>
        </a:gradFill>
        <a:ln w="9525">
          <a:solidFill>
            <a:srgbClr val="062542"/>
          </a:solidFill>
        </a:ln>
        <a:effectLst>
          <a:outerShdw blurRad="190500" dist="127000" dir="8100000" algn="tr" rotWithShape="0">
            <a:prstClr val="black">
              <a:alpha val="9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tx2">
                <a:lumMod val="50000"/>
                <a:lumOff val="50000"/>
              </a:schemeClr>
            </a:solidFill>
            <a:latin typeface="+mn-lt"/>
            <a:ea typeface="+mn-ea"/>
            <a:cs typeface="+mn-cs"/>
          </a:endParaRPr>
        </a:p>
      </xdr:txBody>
    </xdr:sp>
    <xdr:clientData/>
  </xdr:twoCellAnchor>
  <xdr:twoCellAnchor>
    <xdr:from>
      <xdr:col>1</xdr:col>
      <xdr:colOff>185951</xdr:colOff>
      <xdr:row>3</xdr:row>
      <xdr:rowOff>52811</xdr:rowOff>
    </xdr:from>
    <xdr:to>
      <xdr:col>2</xdr:col>
      <xdr:colOff>508855</xdr:colOff>
      <xdr:row>8</xdr:row>
      <xdr:rowOff>30517</xdr:rowOff>
    </xdr:to>
    <xdr:grpSp>
      <xdr:nvGrpSpPr>
        <xdr:cNvPr id="117" name="Group 116">
          <a:extLst>
            <a:ext uri="{FF2B5EF4-FFF2-40B4-BE49-F238E27FC236}">
              <a16:creationId xmlns:a16="http://schemas.microsoft.com/office/drawing/2014/main" id="{00000000-0008-0000-0100-000075000000}"/>
            </a:ext>
          </a:extLst>
        </xdr:cNvPr>
        <xdr:cNvGrpSpPr/>
      </xdr:nvGrpSpPr>
      <xdr:grpSpPr>
        <a:xfrm>
          <a:off x="792592" y="607665"/>
          <a:ext cx="929545" cy="902464"/>
          <a:chOff x="792592" y="689043"/>
          <a:chExt cx="929545" cy="902464"/>
        </a:xfrm>
      </xdr:grpSpPr>
      <xdr:grpSp>
        <xdr:nvGrpSpPr>
          <xdr:cNvPr id="10" name="Group 9">
            <a:extLst>
              <a:ext uri="{FF2B5EF4-FFF2-40B4-BE49-F238E27FC236}">
                <a16:creationId xmlns:a16="http://schemas.microsoft.com/office/drawing/2014/main" id="{00000000-0008-0000-0100-00000A000000}"/>
              </a:ext>
            </a:extLst>
          </xdr:cNvPr>
          <xdr:cNvGrpSpPr/>
        </xdr:nvGrpSpPr>
        <xdr:grpSpPr>
          <a:xfrm>
            <a:off x="792592" y="689043"/>
            <a:ext cx="929545" cy="902464"/>
            <a:chOff x="448148" y="338544"/>
            <a:chExt cx="4171004" cy="4032905"/>
          </a:xfrm>
        </xdr:grpSpPr>
        <xdr:sp macro="" textlink="">
          <xdr:nvSpPr>
            <xdr:cNvPr id="24" name="Freeform: Shape 23">
              <a:extLst>
                <a:ext uri="{FF2B5EF4-FFF2-40B4-BE49-F238E27FC236}">
                  <a16:creationId xmlns:a16="http://schemas.microsoft.com/office/drawing/2014/main" id="{00000000-0008-0000-0100-000018000000}"/>
                </a:ext>
              </a:extLst>
            </xdr:cNvPr>
            <xdr:cNvSpPr/>
          </xdr:nvSpPr>
          <xdr:spPr>
            <a:xfrm flipH="1">
              <a:off x="837825" y="338544"/>
              <a:ext cx="3391650" cy="3746043"/>
            </a:xfrm>
            <a:custGeom>
              <a:avLst/>
              <a:gdLst>
                <a:gd name="csX0" fmla="*/ 1683927 w 3367854"/>
                <a:gd name="csY0" fmla="*/ 483152 h 3746043"/>
                <a:gd name="csX1" fmla="*/ 1816211 w 3367854"/>
                <a:gd name="csY1" fmla="*/ 544314 h 3746043"/>
                <a:gd name="csX2" fmla="*/ 1807528 w 3367854"/>
                <a:gd name="csY2" fmla="*/ 3476797 h 3746043"/>
                <a:gd name="csX3" fmla="*/ 1683927 w 3367854"/>
                <a:gd name="csY3" fmla="*/ 3494059 h 3746043"/>
                <a:gd name="csX4" fmla="*/ 1560326 w 3367854"/>
                <a:gd name="csY4" fmla="*/ 3476797 h 3746043"/>
                <a:gd name="csX5" fmla="*/ 1551643 w 3367854"/>
                <a:gd name="csY5" fmla="*/ 544314 h 3746043"/>
                <a:gd name="csX6" fmla="*/ 1851517 w 3367854"/>
                <a:gd name="csY6" fmla="*/ 50 h 3746043"/>
                <a:gd name="csX7" fmla="*/ 1691195 w 3367854"/>
                <a:gd name="csY7" fmla="*/ 28960 h 3746043"/>
                <a:gd name="csX8" fmla="*/ 1683927 w 3367854"/>
                <a:gd name="csY8" fmla="*/ 33301 h 3746043"/>
                <a:gd name="csX9" fmla="*/ 1676660 w 3367854"/>
                <a:gd name="csY9" fmla="*/ 28960 h 3746043"/>
                <a:gd name="csX10" fmla="*/ 664787 w 3367854"/>
                <a:gd name="csY10" fmla="*/ 406156 h 3746043"/>
                <a:gd name="csX11" fmla="*/ 1514396 w 3367854"/>
                <a:gd name="csY11" fmla="*/ 3727318 h 3746043"/>
                <a:gd name="csX12" fmla="*/ 1681987 w 3367854"/>
                <a:gd name="csY12" fmla="*/ 3745620 h 3746043"/>
                <a:gd name="csX13" fmla="*/ 1681987 w 3367854"/>
                <a:gd name="csY13" fmla="*/ 3746043 h 3746043"/>
                <a:gd name="csX14" fmla="*/ 1683927 w 3367854"/>
                <a:gd name="csY14" fmla="*/ 3745831 h 3746043"/>
                <a:gd name="csX15" fmla="*/ 1685867 w 3367854"/>
                <a:gd name="csY15" fmla="*/ 3746043 h 3746043"/>
                <a:gd name="csX16" fmla="*/ 1685867 w 3367854"/>
                <a:gd name="csY16" fmla="*/ 3745620 h 3746043"/>
                <a:gd name="csX17" fmla="*/ 1853458 w 3367854"/>
                <a:gd name="csY17" fmla="*/ 3727318 h 3746043"/>
                <a:gd name="csX18" fmla="*/ 2703067 w 3367854"/>
                <a:gd name="csY18" fmla="*/ 406156 h 3746043"/>
                <a:gd name="csX19" fmla="*/ 1851517 w 3367854"/>
                <a:gd name="csY19" fmla="*/ 50 h 3746043"/>
                <a:gd name="csX0" fmla="*/ 1567087 w 3367854"/>
                <a:gd name="csY0" fmla="*/ 437432 h 3746043"/>
                <a:gd name="csX1" fmla="*/ 1816211 w 3367854"/>
                <a:gd name="csY1" fmla="*/ 544314 h 3746043"/>
                <a:gd name="csX2" fmla="*/ 1807528 w 3367854"/>
                <a:gd name="csY2" fmla="*/ 3476797 h 3746043"/>
                <a:gd name="csX3" fmla="*/ 1683927 w 3367854"/>
                <a:gd name="csY3" fmla="*/ 3494059 h 3746043"/>
                <a:gd name="csX4" fmla="*/ 1560326 w 3367854"/>
                <a:gd name="csY4" fmla="*/ 3476797 h 3746043"/>
                <a:gd name="csX5" fmla="*/ 1551643 w 3367854"/>
                <a:gd name="csY5" fmla="*/ 544314 h 3746043"/>
                <a:gd name="csX6" fmla="*/ 1567087 w 3367854"/>
                <a:gd name="csY6" fmla="*/ 437432 h 3746043"/>
                <a:gd name="csX7" fmla="*/ 1851517 w 3367854"/>
                <a:gd name="csY7" fmla="*/ 50 h 3746043"/>
                <a:gd name="csX8" fmla="*/ 1691195 w 3367854"/>
                <a:gd name="csY8" fmla="*/ 28960 h 3746043"/>
                <a:gd name="csX9" fmla="*/ 1683927 w 3367854"/>
                <a:gd name="csY9" fmla="*/ 33301 h 3746043"/>
                <a:gd name="csX10" fmla="*/ 1676660 w 3367854"/>
                <a:gd name="csY10" fmla="*/ 28960 h 3746043"/>
                <a:gd name="csX11" fmla="*/ 664787 w 3367854"/>
                <a:gd name="csY11" fmla="*/ 406156 h 3746043"/>
                <a:gd name="csX12" fmla="*/ 1514396 w 3367854"/>
                <a:gd name="csY12" fmla="*/ 3727318 h 3746043"/>
                <a:gd name="csX13" fmla="*/ 1681987 w 3367854"/>
                <a:gd name="csY13" fmla="*/ 3745620 h 3746043"/>
                <a:gd name="csX14" fmla="*/ 1681987 w 3367854"/>
                <a:gd name="csY14" fmla="*/ 3746043 h 3746043"/>
                <a:gd name="csX15" fmla="*/ 1683927 w 3367854"/>
                <a:gd name="csY15" fmla="*/ 3745831 h 3746043"/>
                <a:gd name="csX16" fmla="*/ 1685867 w 3367854"/>
                <a:gd name="csY16" fmla="*/ 3746043 h 3746043"/>
                <a:gd name="csX17" fmla="*/ 1685867 w 3367854"/>
                <a:gd name="csY17" fmla="*/ 3745620 h 3746043"/>
                <a:gd name="csX18" fmla="*/ 1853458 w 3367854"/>
                <a:gd name="csY18" fmla="*/ 3727318 h 3746043"/>
                <a:gd name="csX19" fmla="*/ 2703067 w 3367854"/>
                <a:gd name="csY19" fmla="*/ 406156 h 3746043"/>
                <a:gd name="csX20" fmla="*/ 1851517 w 3367854"/>
                <a:gd name="csY20" fmla="*/ 50 h 3746043"/>
                <a:gd name="csX0" fmla="*/ 1567087 w 3367854"/>
                <a:gd name="csY0" fmla="*/ 437432 h 3746043"/>
                <a:gd name="csX1" fmla="*/ 1816211 w 3367854"/>
                <a:gd name="csY1" fmla="*/ 544314 h 3746043"/>
                <a:gd name="csX2" fmla="*/ 1807528 w 3367854"/>
                <a:gd name="csY2" fmla="*/ 3476797 h 3746043"/>
                <a:gd name="csX3" fmla="*/ 1683927 w 3367854"/>
                <a:gd name="csY3" fmla="*/ 3494059 h 3746043"/>
                <a:gd name="csX4" fmla="*/ 1560326 w 3367854"/>
                <a:gd name="csY4" fmla="*/ 3476797 h 3746043"/>
                <a:gd name="csX5" fmla="*/ 1312883 w 3367854"/>
                <a:gd name="csY5" fmla="*/ 564634 h 3746043"/>
                <a:gd name="csX6" fmla="*/ 1567087 w 3367854"/>
                <a:gd name="csY6" fmla="*/ 437432 h 3746043"/>
                <a:gd name="csX7" fmla="*/ 1851517 w 3367854"/>
                <a:gd name="csY7" fmla="*/ 50 h 3746043"/>
                <a:gd name="csX8" fmla="*/ 1691195 w 3367854"/>
                <a:gd name="csY8" fmla="*/ 28960 h 3746043"/>
                <a:gd name="csX9" fmla="*/ 1683927 w 3367854"/>
                <a:gd name="csY9" fmla="*/ 33301 h 3746043"/>
                <a:gd name="csX10" fmla="*/ 1676660 w 3367854"/>
                <a:gd name="csY10" fmla="*/ 28960 h 3746043"/>
                <a:gd name="csX11" fmla="*/ 664787 w 3367854"/>
                <a:gd name="csY11" fmla="*/ 406156 h 3746043"/>
                <a:gd name="csX12" fmla="*/ 1514396 w 3367854"/>
                <a:gd name="csY12" fmla="*/ 3727318 h 3746043"/>
                <a:gd name="csX13" fmla="*/ 1681987 w 3367854"/>
                <a:gd name="csY13" fmla="*/ 3745620 h 3746043"/>
                <a:gd name="csX14" fmla="*/ 1681987 w 3367854"/>
                <a:gd name="csY14" fmla="*/ 3746043 h 3746043"/>
                <a:gd name="csX15" fmla="*/ 1683927 w 3367854"/>
                <a:gd name="csY15" fmla="*/ 3745831 h 3746043"/>
                <a:gd name="csX16" fmla="*/ 1685867 w 3367854"/>
                <a:gd name="csY16" fmla="*/ 3746043 h 3746043"/>
                <a:gd name="csX17" fmla="*/ 1685867 w 3367854"/>
                <a:gd name="csY17" fmla="*/ 3745620 h 3746043"/>
                <a:gd name="csX18" fmla="*/ 1853458 w 3367854"/>
                <a:gd name="csY18" fmla="*/ 3727318 h 3746043"/>
                <a:gd name="csX19" fmla="*/ 2703067 w 3367854"/>
                <a:gd name="csY19" fmla="*/ 406156 h 3746043"/>
                <a:gd name="csX20" fmla="*/ 1851517 w 3367854"/>
                <a:gd name="csY20" fmla="*/ 50 h 3746043"/>
                <a:gd name="csX0" fmla="*/ 1567087 w 3367854"/>
                <a:gd name="csY0" fmla="*/ 437432 h 3746043"/>
                <a:gd name="csX1" fmla="*/ 1816211 w 3367854"/>
                <a:gd name="csY1" fmla="*/ 544314 h 3746043"/>
                <a:gd name="csX2" fmla="*/ 1807528 w 3367854"/>
                <a:gd name="csY2" fmla="*/ 3476797 h 3746043"/>
                <a:gd name="csX3" fmla="*/ 1683927 w 3367854"/>
                <a:gd name="csY3" fmla="*/ 3494059 h 3746043"/>
                <a:gd name="csX4" fmla="*/ 1560326 w 3367854"/>
                <a:gd name="csY4" fmla="*/ 3476797 h 3746043"/>
                <a:gd name="csX5" fmla="*/ 1312883 w 3367854"/>
                <a:gd name="csY5" fmla="*/ 564634 h 3746043"/>
                <a:gd name="csX6" fmla="*/ 1567087 w 3367854"/>
                <a:gd name="csY6" fmla="*/ 437432 h 3746043"/>
                <a:gd name="csX7" fmla="*/ 1851517 w 3367854"/>
                <a:gd name="csY7" fmla="*/ 50 h 3746043"/>
                <a:gd name="csX8" fmla="*/ 1691195 w 3367854"/>
                <a:gd name="csY8" fmla="*/ 28960 h 3746043"/>
                <a:gd name="csX9" fmla="*/ 1683927 w 3367854"/>
                <a:gd name="csY9" fmla="*/ 33301 h 3746043"/>
                <a:gd name="csX10" fmla="*/ 1676660 w 3367854"/>
                <a:gd name="csY10" fmla="*/ 28960 h 3746043"/>
                <a:gd name="csX11" fmla="*/ 664787 w 3367854"/>
                <a:gd name="csY11" fmla="*/ 406156 h 3746043"/>
                <a:gd name="csX12" fmla="*/ 1514396 w 3367854"/>
                <a:gd name="csY12" fmla="*/ 3727318 h 3746043"/>
                <a:gd name="csX13" fmla="*/ 1681987 w 3367854"/>
                <a:gd name="csY13" fmla="*/ 3745620 h 3746043"/>
                <a:gd name="csX14" fmla="*/ 1681987 w 3367854"/>
                <a:gd name="csY14" fmla="*/ 3746043 h 3746043"/>
                <a:gd name="csX15" fmla="*/ 1683927 w 3367854"/>
                <a:gd name="csY15" fmla="*/ 3745831 h 3746043"/>
                <a:gd name="csX16" fmla="*/ 1685867 w 3367854"/>
                <a:gd name="csY16" fmla="*/ 3746043 h 3746043"/>
                <a:gd name="csX17" fmla="*/ 1685867 w 3367854"/>
                <a:gd name="csY17" fmla="*/ 3745620 h 3746043"/>
                <a:gd name="csX18" fmla="*/ 1853458 w 3367854"/>
                <a:gd name="csY18" fmla="*/ 3727318 h 3746043"/>
                <a:gd name="csX19" fmla="*/ 2703067 w 3367854"/>
                <a:gd name="csY19" fmla="*/ 406156 h 3746043"/>
                <a:gd name="csX20" fmla="*/ 1851517 w 3367854"/>
                <a:gd name="csY20" fmla="*/ 50 h 3746043"/>
                <a:gd name="csX0" fmla="*/ 1567087 w 3367854"/>
                <a:gd name="csY0" fmla="*/ 437432 h 3746043"/>
                <a:gd name="csX1" fmla="*/ 1816211 w 3367854"/>
                <a:gd name="csY1" fmla="*/ 544314 h 3746043"/>
                <a:gd name="csX2" fmla="*/ 1807528 w 3367854"/>
                <a:gd name="csY2" fmla="*/ 3476797 h 3746043"/>
                <a:gd name="csX3" fmla="*/ 1683927 w 3367854"/>
                <a:gd name="csY3" fmla="*/ 3494059 h 3746043"/>
                <a:gd name="csX4" fmla="*/ 1560326 w 3367854"/>
                <a:gd name="csY4" fmla="*/ 3476797 h 3746043"/>
                <a:gd name="csX5" fmla="*/ 1312883 w 3367854"/>
                <a:gd name="csY5" fmla="*/ 564634 h 3746043"/>
                <a:gd name="csX6" fmla="*/ 1567087 w 3367854"/>
                <a:gd name="csY6" fmla="*/ 437432 h 3746043"/>
                <a:gd name="csX7" fmla="*/ 1851517 w 3367854"/>
                <a:gd name="csY7" fmla="*/ 50 h 3746043"/>
                <a:gd name="csX8" fmla="*/ 1691195 w 3367854"/>
                <a:gd name="csY8" fmla="*/ 28960 h 3746043"/>
                <a:gd name="csX9" fmla="*/ 1683927 w 3367854"/>
                <a:gd name="csY9" fmla="*/ 33301 h 3746043"/>
                <a:gd name="csX10" fmla="*/ 1676660 w 3367854"/>
                <a:gd name="csY10" fmla="*/ 28960 h 3746043"/>
                <a:gd name="csX11" fmla="*/ 664787 w 3367854"/>
                <a:gd name="csY11" fmla="*/ 406156 h 3746043"/>
                <a:gd name="csX12" fmla="*/ 1514396 w 3367854"/>
                <a:gd name="csY12" fmla="*/ 3727318 h 3746043"/>
                <a:gd name="csX13" fmla="*/ 1681987 w 3367854"/>
                <a:gd name="csY13" fmla="*/ 3745620 h 3746043"/>
                <a:gd name="csX14" fmla="*/ 1681987 w 3367854"/>
                <a:gd name="csY14" fmla="*/ 3746043 h 3746043"/>
                <a:gd name="csX15" fmla="*/ 1683927 w 3367854"/>
                <a:gd name="csY15" fmla="*/ 3745831 h 3746043"/>
                <a:gd name="csX16" fmla="*/ 1685867 w 3367854"/>
                <a:gd name="csY16" fmla="*/ 3746043 h 3746043"/>
                <a:gd name="csX17" fmla="*/ 1685867 w 3367854"/>
                <a:gd name="csY17" fmla="*/ 3745620 h 3746043"/>
                <a:gd name="csX18" fmla="*/ 1853458 w 3367854"/>
                <a:gd name="csY18" fmla="*/ 3727318 h 3746043"/>
                <a:gd name="csX19" fmla="*/ 2703067 w 3367854"/>
                <a:gd name="csY19" fmla="*/ 406156 h 3746043"/>
                <a:gd name="csX20" fmla="*/ 1851517 w 3367854"/>
                <a:gd name="csY20" fmla="*/ 50 h 3746043"/>
                <a:gd name="csX0" fmla="*/ 1567087 w 3367854"/>
                <a:gd name="csY0" fmla="*/ 437432 h 3746043"/>
                <a:gd name="csX1" fmla="*/ 1816211 w 3367854"/>
                <a:gd name="csY1" fmla="*/ 544314 h 3746043"/>
                <a:gd name="csX2" fmla="*/ 1807528 w 3367854"/>
                <a:gd name="csY2" fmla="*/ 3476797 h 3746043"/>
                <a:gd name="csX3" fmla="*/ 1683927 w 3367854"/>
                <a:gd name="csY3" fmla="*/ 3494059 h 3746043"/>
                <a:gd name="csX4" fmla="*/ 1560326 w 3367854"/>
                <a:gd name="csY4" fmla="*/ 3476797 h 3746043"/>
                <a:gd name="csX5" fmla="*/ 1312883 w 3367854"/>
                <a:gd name="csY5" fmla="*/ 564634 h 3746043"/>
                <a:gd name="csX6" fmla="*/ 1567087 w 3367854"/>
                <a:gd name="csY6" fmla="*/ 437432 h 3746043"/>
                <a:gd name="csX7" fmla="*/ 1851517 w 3367854"/>
                <a:gd name="csY7" fmla="*/ 50 h 3746043"/>
                <a:gd name="csX8" fmla="*/ 1691195 w 3367854"/>
                <a:gd name="csY8" fmla="*/ 28960 h 3746043"/>
                <a:gd name="csX9" fmla="*/ 1683927 w 3367854"/>
                <a:gd name="csY9" fmla="*/ 33301 h 3746043"/>
                <a:gd name="csX10" fmla="*/ 1676660 w 3367854"/>
                <a:gd name="csY10" fmla="*/ 28960 h 3746043"/>
                <a:gd name="csX11" fmla="*/ 664787 w 3367854"/>
                <a:gd name="csY11" fmla="*/ 406156 h 3746043"/>
                <a:gd name="csX12" fmla="*/ 1514396 w 3367854"/>
                <a:gd name="csY12" fmla="*/ 3727318 h 3746043"/>
                <a:gd name="csX13" fmla="*/ 1681987 w 3367854"/>
                <a:gd name="csY13" fmla="*/ 3745620 h 3746043"/>
                <a:gd name="csX14" fmla="*/ 1681987 w 3367854"/>
                <a:gd name="csY14" fmla="*/ 3746043 h 3746043"/>
                <a:gd name="csX15" fmla="*/ 1683927 w 3367854"/>
                <a:gd name="csY15" fmla="*/ 3745831 h 3746043"/>
                <a:gd name="csX16" fmla="*/ 1685867 w 3367854"/>
                <a:gd name="csY16" fmla="*/ 3746043 h 3746043"/>
                <a:gd name="csX17" fmla="*/ 1685867 w 3367854"/>
                <a:gd name="csY17" fmla="*/ 3745620 h 3746043"/>
                <a:gd name="csX18" fmla="*/ 1853458 w 3367854"/>
                <a:gd name="csY18" fmla="*/ 3727318 h 3746043"/>
                <a:gd name="csX19" fmla="*/ 2703067 w 3367854"/>
                <a:gd name="csY19" fmla="*/ 406156 h 3746043"/>
                <a:gd name="csX20" fmla="*/ 1851517 w 3367854"/>
                <a:gd name="csY20" fmla="*/ 50 h 374604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3367854" h="3746043">
                  <a:moveTo>
                    <a:pt x="1567087" y="437432"/>
                  </a:moveTo>
                  <a:cubicBezTo>
                    <a:pt x="1611182" y="457819"/>
                    <a:pt x="1772116" y="523927"/>
                    <a:pt x="1816211" y="544314"/>
                  </a:cubicBezTo>
                  <a:cubicBezTo>
                    <a:pt x="3615393" y="1442245"/>
                    <a:pt x="3136714" y="3234693"/>
                    <a:pt x="1807528" y="3476797"/>
                  </a:cubicBezTo>
                  <a:lnTo>
                    <a:pt x="1683927" y="3494059"/>
                  </a:lnTo>
                  <a:lnTo>
                    <a:pt x="1560326" y="3476797"/>
                  </a:lnTo>
                  <a:cubicBezTo>
                    <a:pt x="231141" y="3234693"/>
                    <a:pt x="-405019" y="1498125"/>
                    <a:pt x="1312883" y="564634"/>
                  </a:cubicBezTo>
                  <a:cubicBezTo>
                    <a:pt x="1356978" y="544247"/>
                    <a:pt x="1522992" y="457819"/>
                    <a:pt x="1567087" y="437432"/>
                  </a:cubicBezTo>
                  <a:close/>
                  <a:moveTo>
                    <a:pt x="1851517" y="50"/>
                  </a:moveTo>
                  <a:cubicBezTo>
                    <a:pt x="1788025" y="-826"/>
                    <a:pt x="1734666" y="9870"/>
                    <a:pt x="1691195" y="28960"/>
                  </a:cubicBezTo>
                  <a:lnTo>
                    <a:pt x="1683927" y="33301"/>
                  </a:lnTo>
                  <a:lnTo>
                    <a:pt x="1676660" y="28960"/>
                  </a:lnTo>
                  <a:cubicBezTo>
                    <a:pt x="1502776" y="-47400"/>
                    <a:pt x="1170671" y="10545"/>
                    <a:pt x="664787" y="406156"/>
                  </a:cubicBezTo>
                  <a:cubicBezTo>
                    <a:pt x="-417478" y="1408725"/>
                    <a:pt x="-208556" y="3474353"/>
                    <a:pt x="1514396" y="3727318"/>
                  </a:cubicBezTo>
                  <a:lnTo>
                    <a:pt x="1681987" y="3745620"/>
                  </a:lnTo>
                  <a:lnTo>
                    <a:pt x="1681987" y="3746043"/>
                  </a:lnTo>
                  <a:lnTo>
                    <a:pt x="1683927" y="3745831"/>
                  </a:lnTo>
                  <a:lnTo>
                    <a:pt x="1685867" y="3746043"/>
                  </a:lnTo>
                  <a:lnTo>
                    <a:pt x="1685867" y="3745620"/>
                  </a:lnTo>
                  <a:lnTo>
                    <a:pt x="1853458" y="3727318"/>
                  </a:lnTo>
                  <a:cubicBezTo>
                    <a:pt x="3576410" y="3474353"/>
                    <a:pt x="3785332" y="1408725"/>
                    <a:pt x="2703067" y="406156"/>
                  </a:cubicBezTo>
                  <a:cubicBezTo>
                    <a:pt x="2323655" y="109448"/>
                    <a:pt x="2041992" y="2677"/>
                    <a:pt x="1851517" y="50"/>
                  </a:cubicBezTo>
                  <a:close/>
                </a:path>
              </a:pathLst>
            </a:custGeom>
            <a:gradFill>
              <a:gsLst>
                <a:gs pos="10000">
                  <a:srgbClr val="041F41">
                    <a:alpha val="70000"/>
                  </a:srgbClr>
                </a:gs>
                <a:gs pos="100000">
                  <a:srgbClr val="106CC2"/>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5" name="Freeform: Shape 24">
              <a:extLst>
                <a:ext uri="{FF2B5EF4-FFF2-40B4-BE49-F238E27FC236}">
                  <a16:creationId xmlns:a16="http://schemas.microsoft.com/office/drawing/2014/main" id="{00000000-0008-0000-0100-000019000000}"/>
                </a:ext>
              </a:extLst>
            </xdr:cNvPr>
            <xdr:cNvSpPr/>
          </xdr:nvSpPr>
          <xdr:spPr>
            <a:xfrm flipH="1">
              <a:off x="837825" y="446236"/>
              <a:ext cx="3391650" cy="3680599"/>
            </a:xfrm>
            <a:custGeom>
              <a:avLst/>
              <a:gdLst>
                <a:gd name="csX0" fmla="*/ 2304891 w 3199659"/>
                <a:gd name="csY0" fmla="*/ 879 h 3680599"/>
                <a:gd name="csX1" fmla="*/ 2306096 w 3199659"/>
                <a:gd name="csY1" fmla="*/ 178788 h 3680599"/>
                <a:gd name="csX2" fmla="*/ 1856766 w 3199659"/>
                <a:gd name="csY2" fmla="*/ 3371353 h 3680599"/>
                <a:gd name="csX3" fmla="*/ 1599830 w 3199659"/>
                <a:gd name="csY3" fmla="*/ 3428638 h 3680599"/>
                <a:gd name="csX4" fmla="*/ 1342895 w 3199659"/>
                <a:gd name="csY4" fmla="*/ 3371353 h 3680599"/>
                <a:gd name="csX5" fmla="*/ 893564 w 3199659"/>
                <a:gd name="csY5" fmla="*/ 178788 h 3680599"/>
                <a:gd name="csX6" fmla="*/ 230624 w 3199659"/>
                <a:gd name="csY6" fmla="*/ 482952 h 3680599"/>
                <a:gd name="csX7" fmla="*/ 1597144 w 3199659"/>
                <a:gd name="csY7" fmla="*/ 3680599 h 3680599"/>
                <a:gd name="csX8" fmla="*/ 1598256 w 3199659"/>
                <a:gd name="csY8" fmla="*/ 3606119 h 3680599"/>
                <a:gd name="csX9" fmla="*/ 1599830 w 3199659"/>
                <a:gd name="csY9" fmla="*/ 3586016 h 3680599"/>
                <a:gd name="csX10" fmla="*/ 1601405 w 3199659"/>
                <a:gd name="csY10" fmla="*/ 3606119 h 3680599"/>
                <a:gd name="csX11" fmla="*/ 1602516 w 3199659"/>
                <a:gd name="csY11" fmla="*/ 3680599 h 3680599"/>
                <a:gd name="csX12" fmla="*/ 2969036 w 3199659"/>
                <a:gd name="csY12" fmla="*/ 482952 h 3680599"/>
                <a:gd name="csX13" fmla="*/ 2304891 w 3199659"/>
                <a:gd name="csY13" fmla="*/ 879 h 368059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Lst>
              <a:rect l="l" t="t" r="r" b="b"/>
              <a:pathLst>
                <a:path w="3199659" h="3680599">
                  <a:moveTo>
                    <a:pt x="2304891" y="879"/>
                  </a:moveTo>
                  <a:cubicBezTo>
                    <a:pt x="2227277" y="8969"/>
                    <a:pt x="2210846" y="72581"/>
                    <a:pt x="2306096" y="178788"/>
                  </a:cubicBezTo>
                  <a:cubicBezTo>
                    <a:pt x="3634834" y="1733504"/>
                    <a:pt x="3129265" y="3014080"/>
                    <a:pt x="1856766" y="3371353"/>
                  </a:cubicBezTo>
                  <a:lnTo>
                    <a:pt x="1599830" y="3428638"/>
                  </a:lnTo>
                  <a:lnTo>
                    <a:pt x="1342895" y="3371353"/>
                  </a:lnTo>
                  <a:cubicBezTo>
                    <a:pt x="70396" y="3014080"/>
                    <a:pt x="-435174" y="1733504"/>
                    <a:pt x="893564" y="178788"/>
                  </a:cubicBezTo>
                  <a:cubicBezTo>
                    <a:pt x="1147564" y="-104430"/>
                    <a:pt x="607391" y="-84751"/>
                    <a:pt x="230624" y="482952"/>
                  </a:cubicBezTo>
                  <a:cubicBezTo>
                    <a:pt x="-144873" y="1370541"/>
                    <a:pt x="-282456" y="3543281"/>
                    <a:pt x="1597144" y="3680599"/>
                  </a:cubicBezTo>
                  <a:cubicBezTo>
                    <a:pt x="1596721" y="3649158"/>
                    <a:pt x="1597250" y="3625654"/>
                    <a:pt x="1598256" y="3606119"/>
                  </a:cubicBezTo>
                  <a:lnTo>
                    <a:pt x="1599830" y="3586016"/>
                  </a:lnTo>
                  <a:lnTo>
                    <a:pt x="1601405" y="3606119"/>
                  </a:lnTo>
                  <a:cubicBezTo>
                    <a:pt x="1602410" y="3625654"/>
                    <a:pt x="1602939" y="3649158"/>
                    <a:pt x="1602516" y="3680599"/>
                  </a:cubicBezTo>
                  <a:cubicBezTo>
                    <a:pt x="3482116" y="3543281"/>
                    <a:pt x="3344533" y="1370541"/>
                    <a:pt x="2969036" y="482952"/>
                  </a:cubicBezTo>
                  <a:cubicBezTo>
                    <a:pt x="2733557" y="128137"/>
                    <a:pt x="2434247" y="-12605"/>
                    <a:pt x="2304891" y="879"/>
                  </a:cubicBezTo>
                  <a:close/>
                </a:path>
              </a:pathLst>
            </a:custGeom>
            <a:gradFill>
              <a:gsLst>
                <a:gs pos="0">
                  <a:srgbClr val="041F41">
                    <a:alpha val="70000"/>
                  </a:srgbClr>
                </a:gs>
                <a:gs pos="100000">
                  <a:srgbClr val="3F9BEF"/>
                </a:gs>
                <a:gs pos="55000">
                  <a:srgbClr val="106CC2"/>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6" name="Freeform: Shape 25">
              <a:extLst>
                <a:ext uri="{FF2B5EF4-FFF2-40B4-BE49-F238E27FC236}">
                  <a16:creationId xmlns:a16="http://schemas.microsoft.com/office/drawing/2014/main" id="{00000000-0008-0000-0100-00001A000000}"/>
                </a:ext>
              </a:extLst>
            </xdr:cNvPr>
            <xdr:cNvSpPr/>
          </xdr:nvSpPr>
          <xdr:spPr>
            <a:xfrm flipH="1">
              <a:off x="650257" y="763050"/>
              <a:ext cx="3766787" cy="3392015"/>
            </a:xfrm>
            <a:custGeom>
              <a:avLst/>
              <a:gdLst>
                <a:gd name="csX0" fmla="*/ 3219633 w 3577267"/>
                <a:gd name="csY0" fmla="*/ 109 h 3392015"/>
                <a:gd name="csX1" fmla="*/ 3173338 w 3577267"/>
                <a:gd name="csY1" fmla="*/ 291524 h 3392015"/>
                <a:gd name="csX2" fmla="*/ 2040719 w 3577267"/>
                <a:gd name="csY2" fmla="*/ 3100168 h 3392015"/>
                <a:gd name="csX3" fmla="*/ 1788634 w 3577267"/>
                <a:gd name="csY3" fmla="*/ 3140173 h 3392015"/>
                <a:gd name="csX4" fmla="*/ 1536548 w 3577267"/>
                <a:gd name="csY4" fmla="*/ 3100168 h 3392015"/>
                <a:gd name="csX5" fmla="*/ 403929 w 3577267"/>
                <a:gd name="csY5" fmla="*/ 291524 h 3392015"/>
                <a:gd name="csX6" fmla="*/ 172789 w 3577267"/>
                <a:gd name="csY6" fmla="*/ 240088 h 3392015"/>
                <a:gd name="csX7" fmla="*/ 1788229 w 3577267"/>
                <a:gd name="csY7" fmla="*/ 3392015 h 3392015"/>
                <a:gd name="csX8" fmla="*/ 1788249 w 3577267"/>
                <a:gd name="csY8" fmla="*/ 3350310 h 3392015"/>
                <a:gd name="csX9" fmla="*/ 1788634 w 3577267"/>
                <a:gd name="csY9" fmla="*/ 3338762 h 3392015"/>
                <a:gd name="csX10" fmla="*/ 1789018 w 3577267"/>
                <a:gd name="csY10" fmla="*/ 3350310 h 3392015"/>
                <a:gd name="csX11" fmla="*/ 1789038 w 3577267"/>
                <a:gd name="csY11" fmla="*/ 3392015 h 3392015"/>
                <a:gd name="csX12" fmla="*/ 3404478 w 3577267"/>
                <a:gd name="csY12" fmla="*/ 240088 h 3392015"/>
                <a:gd name="csX13" fmla="*/ 3219633 w 3577267"/>
                <a:gd name="csY13" fmla="*/ 109 h 339201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Lst>
              <a:rect l="l" t="t" r="r" b="b"/>
              <a:pathLst>
                <a:path w="3577267" h="3392015">
                  <a:moveTo>
                    <a:pt x="3219633" y="109"/>
                  </a:moveTo>
                  <a:cubicBezTo>
                    <a:pt x="3159765" y="4270"/>
                    <a:pt x="3133333" y="126499"/>
                    <a:pt x="3173338" y="291524"/>
                  </a:cubicBezTo>
                  <a:cubicBezTo>
                    <a:pt x="3701976" y="1803378"/>
                    <a:pt x="3293740" y="2840173"/>
                    <a:pt x="2040719" y="3100168"/>
                  </a:cubicBezTo>
                  <a:lnTo>
                    <a:pt x="1788634" y="3140173"/>
                  </a:lnTo>
                  <a:lnTo>
                    <a:pt x="1536548" y="3100168"/>
                  </a:lnTo>
                  <a:cubicBezTo>
                    <a:pt x="283527" y="2840173"/>
                    <a:pt x="-124709" y="1803378"/>
                    <a:pt x="403929" y="291524"/>
                  </a:cubicBezTo>
                  <a:cubicBezTo>
                    <a:pt x="475049" y="-1853"/>
                    <a:pt x="336196" y="-159975"/>
                    <a:pt x="172789" y="240088"/>
                  </a:cubicBezTo>
                  <a:cubicBezTo>
                    <a:pt x="-202708" y="1127677"/>
                    <a:pt x="-91371" y="3254697"/>
                    <a:pt x="1788229" y="3392015"/>
                  </a:cubicBezTo>
                  <a:cubicBezTo>
                    <a:pt x="1788018" y="3376295"/>
                    <a:pt x="1788044" y="3362558"/>
                    <a:pt x="1788249" y="3350310"/>
                  </a:cubicBezTo>
                  <a:lnTo>
                    <a:pt x="1788634" y="3338762"/>
                  </a:lnTo>
                  <a:lnTo>
                    <a:pt x="1789018" y="3350310"/>
                  </a:lnTo>
                  <a:cubicBezTo>
                    <a:pt x="1789223" y="3362558"/>
                    <a:pt x="1789250" y="3376295"/>
                    <a:pt x="1789038" y="3392015"/>
                  </a:cubicBezTo>
                  <a:cubicBezTo>
                    <a:pt x="3668638" y="3254697"/>
                    <a:pt x="3779975" y="1127677"/>
                    <a:pt x="3404478" y="240088"/>
                  </a:cubicBezTo>
                  <a:cubicBezTo>
                    <a:pt x="3332988" y="65060"/>
                    <a:pt x="3266197" y="-3127"/>
                    <a:pt x="3219633" y="109"/>
                  </a:cubicBezTo>
                  <a:close/>
                </a:path>
              </a:pathLst>
            </a:custGeom>
            <a:gradFill>
              <a:gsLst>
                <a:gs pos="1000">
                  <a:srgbClr val="041F41">
                    <a:alpha val="70000"/>
                  </a:srgbClr>
                </a:gs>
                <a:gs pos="55000">
                  <a:srgbClr val="106CC2"/>
                </a:gs>
                <a:gs pos="100000">
                  <a:srgbClr val="00E8FF"/>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7" name="Freeform: Shape 26">
              <a:extLst>
                <a:ext uri="{FF2B5EF4-FFF2-40B4-BE49-F238E27FC236}">
                  <a16:creationId xmlns:a16="http://schemas.microsoft.com/office/drawing/2014/main" id="{00000000-0008-0000-0100-00001B000000}"/>
                </a:ext>
              </a:extLst>
            </xdr:cNvPr>
            <xdr:cNvSpPr/>
          </xdr:nvSpPr>
          <xdr:spPr>
            <a:xfrm flipH="1">
              <a:off x="546069" y="1305581"/>
              <a:ext cx="3975163" cy="2949345"/>
            </a:xfrm>
            <a:custGeom>
              <a:avLst/>
              <a:gdLst>
                <a:gd name="csX0" fmla="*/ 3729374 w 3816142"/>
                <a:gd name="csY0" fmla="*/ 553 h 2949345"/>
                <a:gd name="csX1" fmla="*/ 3661037 w 3816142"/>
                <a:gd name="csY1" fmla="*/ 265414 h 2949345"/>
                <a:gd name="csX2" fmla="*/ 2063611 w 3816142"/>
                <a:gd name="csY2" fmla="*/ 2639401 h 2949345"/>
                <a:gd name="csX3" fmla="*/ 1908071 w 3816142"/>
                <a:gd name="csY3" fmla="*/ 2668168 h 2949345"/>
                <a:gd name="csX4" fmla="*/ 1752531 w 3816142"/>
                <a:gd name="csY4" fmla="*/ 2639401 h 2949345"/>
                <a:gd name="csX5" fmla="*/ 155105 w 3816142"/>
                <a:gd name="csY5" fmla="*/ 265414 h 2949345"/>
                <a:gd name="csX6" fmla="*/ 15405 w 3816142"/>
                <a:gd name="csY6" fmla="*/ 178417 h 2949345"/>
                <a:gd name="csX7" fmla="*/ 1734797 w 3816142"/>
                <a:gd name="csY7" fmla="*/ 2902451 h 2949345"/>
                <a:gd name="csX8" fmla="*/ 1905908 w 3816142"/>
                <a:gd name="csY8" fmla="*/ 2948186 h 2949345"/>
                <a:gd name="csX9" fmla="*/ 1905897 w 3816142"/>
                <a:gd name="csY9" fmla="*/ 2949345 h 2949345"/>
                <a:gd name="csX10" fmla="*/ 1908071 w 3816142"/>
                <a:gd name="csY10" fmla="*/ 2948764 h 2949345"/>
                <a:gd name="csX11" fmla="*/ 1910245 w 3816142"/>
                <a:gd name="csY11" fmla="*/ 2949345 h 2949345"/>
                <a:gd name="csX12" fmla="*/ 1910234 w 3816142"/>
                <a:gd name="csY12" fmla="*/ 2948186 h 2949345"/>
                <a:gd name="csX13" fmla="*/ 2081346 w 3816142"/>
                <a:gd name="csY13" fmla="*/ 2902451 h 2949345"/>
                <a:gd name="csX14" fmla="*/ 3800737 w 3816142"/>
                <a:gd name="csY14" fmla="*/ 178417 h 2949345"/>
                <a:gd name="csX15" fmla="*/ 3729374 w 3816142"/>
                <a:gd name="csY15" fmla="*/ 553 h 294934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Lst>
              <a:rect l="l" t="t" r="r" b="b"/>
              <a:pathLst>
                <a:path w="3816142" h="2949345">
                  <a:moveTo>
                    <a:pt x="3729374" y="553"/>
                  </a:moveTo>
                  <a:cubicBezTo>
                    <a:pt x="3685511" y="-9183"/>
                    <a:pt x="3645162" y="110628"/>
                    <a:pt x="3661037" y="265414"/>
                  </a:cubicBezTo>
                  <a:cubicBezTo>
                    <a:pt x="3651195" y="986129"/>
                    <a:pt x="3642147" y="2305638"/>
                    <a:pt x="2063611" y="2639401"/>
                  </a:cubicBezTo>
                  <a:lnTo>
                    <a:pt x="1908071" y="2668168"/>
                  </a:lnTo>
                  <a:lnTo>
                    <a:pt x="1752531" y="2639401"/>
                  </a:lnTo>
                  <a:cubicBezTo>
                    <a:pt x="173995" y="2305638"/>
                    <a:pt x="164948" y="986129"/>
                    <a:pt x="155105" y="265414"/>
                  </a:cubicBezTo>
                  <a:cubicBezTo>
                    <a:pt x="180505" y="17757"/>
                    <a:pt x="61972" y="-140366"/>
                    <a:pt x="15405" y="178417"/>
                  </a:cubicBezTo>
                  <a:cubicBezTo>
                    <a:pt x="-43240" y="772520"/>
                    <a:pt x="-21633" y="2382012"/>
                    <a:pt x="1734797" y="2902451"/>
                  </a:cubicBezTo>
                  <a:lnTo>
                    <a:pt x="1905908" y="2948186"/>
                  </a:lnTo>
                  <a:lnTo>
                    <a:pt x="1905897" y="2949345"/>
                  </a:lnTo>
                  <a:lnTo>
                    <a:pt x="1908071" y="2948764"/>
                  </a:lnTo>
                  <a:lnTo>
                    <a:pt x="1910245" y="2949345"/>
                  </a:lnTo>
                  <a:lnTo>
                    <a:pt x="1910234" y="2948186"/>
                  </a:lnTo>
                  <a:lnTo>
                    <a:pt x="2081346" y="2902451"/>
                  </a:lnTo>
                  <a:cubicBezTo>
                    <a:pt x="3837775" y="2382012"/>
                    <a:pt x="3859382" y="772520"/>
                    <a:pt x="3800737" y="178417"/>
                  </a:cubicBezTo>
                  <a:cubicBezTo>
                    <a:pt x="3783274" y="58874"/>
                    <a:pt x="3755692" y="6395"/>
                    <a:pt x="3729374" y="553"/>
                  </a:cubicBezTo>
                  <a:close/>
                </a:path>
              </a:pathLst>
            </a:custGeom>
            <a:gradFill>
              <a:gsLst>
                <a:gs pos="0">
                  <a:srgbClr val="041F41">
                    <a:alpha val="70000"/>
                  </a:srgbClr>
                </a:gs>
                <a:gs pos="23000">
                  <a:srgbClr val="106CC2"/>
                </a:gs>
                <a:gs pos="73000">
                  <a:srgbClr val="00E8FF"/>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8" name="Freeform: Shape 27">
              <a:extLst>
                <a:ext uri="{FF2B5EF4-FFF2-40B4-BE49-F238E27FC236}">
                  <a16:creationId xmlns:a16="http://schemas.microsoft.com/office/drawing/2014/main" id="{00000000-0008-0000-0100-00001C000000}"/>
                </a:ext>
              </a:extLst>
            </xdr:cNvPr>
            <xdr:cNvSpPr/>
          </xdr:nvSpPr>
          <xdr:spPr>
            <a:xfrm flipH="1">
              <a:off x="448148" y="1758251"/>
              <a:ext cx="4171004" cy="2613198"/>
            </a:xfrm>
            <a:custGeom>
              <a:avLst/>
              <a:gdLst>
                <a:gd name="csX0" fmla="*/ 3947041 w 4019623"/>
                <a:gd name="csY0" fmla="*/ 633 h 2613198"/>
                <a:gd name="csX1" fmla="*/ 3836316 w 4019623"/>
                <a:gd name="csY1" fmla="*/ 460890 h 2613198"/>
                <a:gd name="csX2" fmla="*/ 2010056 w 4019623"/>
                <a:gd name="csY2" fmla="*/ 2279530 h 2613198"/>
                <a:gd name="csX3" fmla="*/ 2009786 w 4019623"/>
                <a:gd name="csY3" fmla="*/ 2297122 h 2613198"/>
                <a:gd name="csX4" fmla="*/ 2009568 w 4019623"/>
                <a:gd name="csY4" fmla="*/ 2282998 h 2613198"/>
                <a:gd name="csX5" fmla="*/ 183308 w 4019623"/>
                <a:gd name="csY5" fmla="*/ 464358 h 2613198"/>
                <a:gd name="csX6" fmla="*/ 28368 w 4019623"/>
                <a:gd name="csY6" fmla="*/ 68118 h 2613198"/>
                <a:gd name="csX7" fmla="*/ 1816528 w 4019623"/>
                <a:gd name="csY7" fmla="*/ 2465878 h 2613198"/>
                <a:gd name="csX8" fmla="*/ 1982621 w 4019623"/>
                <a:gd name="csY8" fmla="*/ 2558628 h 2613198"/>
                <a:gd name="csX9" fmla="*/ 2005171 w 4019623"/>
                <a:gd name="csY9" fmla="*/ 2597051 h 2613198"/>
                <a:gd name="csX10" fmla="*/ 2004976 w 4019623"/>
                <a:gd name="csY10" fmla="*/ 2609730 h 2613198"/>
                <a:gd name="csX11" fmla="*/ 2008795 w 4019623"/>
                <a:gd name="csY11" fmla="*/ 2603224 h 2613198"/>
                <a:gd name="csX12" fmla="*/ 2014648 w 4019623"/>
                <a:gd name="csY12" fmla="*/ 2613198 h 2613198"/>
                <a:gd name="csX13" fmla="*/ 2014349 w 4019623"/>
                <a:gd name="csY13" fmla="*/ 2593760 h 2613198"/>
                <a:gd name="csX14" fmla="*/ 2037004 w 4019623"/>
                <a:gd name="csY14" fmla="*/ 2555160 h 2613198"/>
                <a:gd name="csX15" fmla="*/ 2203096 w 4019623"/>
                <a:gd name="csY15" fmla="*/ 2462410 h 2613198"/>
                <a:gd name="csX16" fmla="*/ 3991256 w 4019623"/>
                <a:gd name="csY16" fmla="*/ 64650 h 2613198"/>
                <a:gd name="csX17" fmla="*/ 3947041 w 4019623"/>
                <a:gd name="csY17" fmla="*/ 633 h 261319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Lst>
              <a:rect l="l" t="t" r="r" b="b"/>
              <a:pathLst>
                <a:path w="4019623" h="2613198">
                  <a:moveTo>
                    <a:pt x="3947041" y="633"/>
                  </a:moveTo>
                  <a:cubicBezTo>
                    <a:pt x="3893155" y="-15235"/>
                    <a:pt x="3877591" y="270337"/>
                    <a:pt x="3836316" y="460890"/>
                  </a:cubicBezTo>
                  <a:cubicBezTo>
                    <a:pt x="3729636" y="1058637"/>
                    <a:pt x="3420603" y="2081410"/>
                    <a:pt x="2010056" y="2279530"/>
                  </a:cubicBezTo>
                  <a:lnTo>
                    <a:pt x="2009786" y="2297122"/>
                  </a:lnTo>
                  <a:lnTo>
                    <a:pt x="2009568" y="2282998"/>
                  </a:lnTo>
                  <a:cubicBezTo>
                    <a:pt x="599021" y="2084878"/>
                    <a:pt x="289988" y="1062105"/>
                    <a:pt x="183308" y="464358"/>
                  </a:cubicBezTo>
                  <a:cubicBezTo>
                    <a:pt x="132508" y="229831"/>
                    <a:pt x="120655" y="-148629"/>
                    <a:pt x="28368" y="68118"/>
                  </a:cubicBezTo>
                  <a:cubicBezTo>
                    <a:pt x="-127419" y="816571"/>
                    <a:pt x="343328" y="2245745"/>
                    <a:pt x="1816528" y="2465878"/>
                  </a:cubicBezTo>
                  <a:cubicBezTo>
                    <a:pt x="1917493" y="2480483"/>
                    <a:pt x="1951783" y="2510328"/>
                    <a:pt x="1982621" y="2558628"/>
                  </a:cubicBezTo>
                  <a:lnTo>
                    <a:pt x="2005171" y="2597051"/>
                  </a:lnTo>
                  <a:lnTo>
                    <a:pt x="2004976" y="2609730"/>
                  </a:lnTo>
                  <a:lnTo>
                    <a:pt x="2008795" y="2603224"/>
                  </a:lnTo>
                  <a:lnTo>
                    <a:pt x="2014648" y="2613198"/>
                  </a:lnTo>
                  <a:lnTo>
                    <a:pt x="2014349" y="2593760"/>
                  </a:lnTo>
                  <a:lnTo>
                    <a:pt x="2037004" y="2555160"/>
                  </a:lnTo>
                  <a:cubicBezTo>
                    <a:pt x="2067841" y="2506860"/>
                    <a:pt x="2102131" y="2477015"/>
                    <a:pt x="2203096" y="2462410"/>
                  </a:cubicBezTo>
                  <a:cubicBezTo>
                    <a:pt x="3676296" y="2242277"/>
                    <a:pt x="4147043" y="813103"/>
                    <a:pt x="3991256" y="64650"/>
                  </a:cubicBezTo>
                  <a:cubicBezTo>
                    <a:pt x="3973952" y="24010"/>
                    <a:pt x="3959476" y="4295"/>
                    <a:pt x="3947041" y="633"/>
                  </a:cubicBezTo>
                  <a:close/>
                </a:path>
              </a:pathLst>
            </a:custGeom>
            <a:gradFill flip="none" rotWithShape="1">
              <a:gsLst>
                <a:gs pos="0">
                  <a:srgbClr val="041F41">
                    <a:alpha val="70000"/>
                  </a:srgbClr>
                </a:gs>
                <a:gs pos="25200">
                  <a:srgbClr val="064BAE"/>
                </a:gs>
                <a:gs pos="56000">
                  <a:srgbClr val="00E8FF"/>
                </a:gs>
                <a:gs pos="100000">
                  <a:schemeClr val="bg1"/>
                </a:gs>
              </a:gsLst>
              <a:lin ang="54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18" name="Freeform: Shape 17">
            <a:extLst>
              <a:ext uri="{FF2B5EF4-FFF2-40B4-BE49-F238E27FC236}">
                <a16:creationId xmlns:a16="http://schemas.microsoft.com/office/drawing/2014/main" id="{00000000-0008-0000-0100-000012000000}"/>
              </a:ext>
            </a:extLst>
          </xdr:cNvPr>
          <xdr:cNvSpPr/>
        </xdr:nvSpPr>
        <xdr:spPr>
          <a:xfrm>
            <a:off x="1131174" y="1014341"/>
            <a:ext cx="252382" cy="251868"/>
          </a:xfrm>
          <a:custGeom>
            <a:avLst/>
            <a:gdLst>
              <a:gd name="connsiteX0" fmla="*/ 227336 w 1247958"/>
              <a:gd name="connsiteY0" fmla="*/ 1027515 h 1220865"/>
              <a:gd name="connsiteX1" fmla="*/ 274201 w 1247958"/>
              <a:gd name="connsiteY1" fmla="*/ 1078597 h 1220865"/>
              <a:gd name="connsiteX2" fmla="*/ 274158 w 1247958"/>
              <a:gd name="connsiteY2" fmla="*/ 1169805 h 1220865"/>
              <a:gd name="connsiteX3" fmla="*/ 224467 w 1247958"/>
              <a:gd name="connsiteY3" fmla="*/ 1220496 h 1220865"/>
              <a:gd name="connsiteX4" fmla="*/ 137563 w 1247958"/>
              <a:gd name="connsiteY4" fmla="*/ 1220670 h 1220865"/>
              <a:gd name="connsiteX5" fmla="*/ 52875 w 1247958"/>
              <a:gd name="connsiteY5" fmla="*/ 1220583 h 1220865"/>
              <a:gd name="connsiteX6" fmla="*/ 228 w 1247958"/>
              <a:gd name="connsiteY6" fmla="*/ 1168197 h 1220865"/>
              <a:gd name="connsiteX7" fmla="*/ 228 w 1247958"/>
              <a:gd name="connsiteY7" fmla="*/ 1079162 h 1220865"/>
              <a:gd name="connsiteX8" fmla="*/ 47137 w 1247958"/>
              <a:gd name="connsiteY8" fmla="*/ 1027906 h 1220865"/>
              <a:gd name="connsiteX9" fmla="*/ 227336 w 1247958"/>
              <a:gd name="connsiteY9" fmla="*/ 1027515 h 1220865"/>
              <a:gd name="connsiteX10" fmla="*/ 378495 w 1247958"/>
              <a:gd name="connsiteY10" fmla="*/ 741500 h 1220865"/>
              <a:gd name="connsiteX11" fmla="*/ 545653 w 1247958"/>
              <a:gd name="connsiteY11" fmla="*/ 741500 h 1220865"/>
              <a:gd name="connsiteX12" fmla="*/ 599299 w 1247958"/>
              <a:gd name="connsiteY12" fmla="*/ 796842 h 1220865"/>
              <a:gd name="connsiteX13" fmla="*/ 599299 w 1247958"/>
              <a:gd name="connsiteY13" fmla="*/ 1159372 h 1220865"/>
              <a:gd name="connsiteX14" fmla="*/ 537610 w 1247958"/>
              <a:gd name="connsiteY14" fmla="*/ 1220583 h 1220865"/>
              <a:gd name="connsiteX15" fmla="*/ 381321 w 1247958"/>
              <a:gd name="connsiteY15" fmla="*/ 1220540 h 1220865"/>
              <a:gd name="connsiteX16" fmla="*/ 325327 w 1247958"/>
              <a:gd name="connsiteY16" fmla="*/ 1165414 h 1220865"/>
              <a:gd name="connsiteX17" fmla="*/ 325196 w 1247958"/>
              <a:gd name="connsiteY17" fmla="*/ 980998 h 1220865"/>
              <a:gd name="connsiteX18" fmla="*/ 325240 w 1247958"/>
              <a:gd name="connsiteY18" fmla="*/ 794277 h 1220865"/>
              <a:gd name="connsiteX19" fmla="*/ 378495 w 1247958"/>
              <a:gd name="connsiteY19" fmla="*/ 741500 h 1220865"/>
              <a:gd name="connsiteX20" fmla="*/ 700811 w 1247958"/>
              <a:gd name="connsiteY20" fmla="*/ 521391 h 1220865"/>
              <a:gd name="connsiteX21" fmla="*/ 868186 w 1247958"/>
              <a:gd name="connsiteY21" fmla="*/ 521522 h 1220865"/>
              <a:gd name="connsiteX22" fmla="*/ 922789 w 1247958"/>
              <a:gd name="connsiteY22" fmla="*/ 577125 h 1220865"/>
              <a:gd name="connsiteX23" fmla="*/ 922832 w 1247958"/>
              <a:gd name="connsiteY23" fmla="*/ 870574 h 1220865"/>
              <a:gd name="connsiteX24" fmla="*/ 922572 w 1247958"/>
              <a:gd name="connsiteY24" fmla="*/ 870531 h 1220865"/>
              <a:gd name="connsiteX25" fmla="*/ 922485 w 1247958"/>
              <a:gd name="connsiteY25" fmla="*/ 1166154 h 1220865"/>
              <a:gd name="connsiteX26" fmla="*/ 868055 w 1247958"/>
              <a:gd name="connsiteY26" fmla="*/ 1220453 h 1220865"/>
              <a:gd name="connsiteX27" fmla="*/ 702854 w 1247958"/>
              <a:gd name="connsiteY27" fmla="*/ 1220540 h 1220865"/>
              <a:gd name="connsiteX28" fmla="*/ 648816 w 1247958"/>
              <a:gd name="connsiteY28" fmla="*/ 1166980 h 1220865"/>
              <a:gd name="connsiteX29" fmla="*/ 648816 w 1247958"/>
              <a:gd name="connsiteY29" fmla="*/ 573604 h 1220865"/>
              <a:gd name="connsiteX30" fmla="*/ 700811 w 1247958"/>
              <a:gd name="connsiteY30" fmla="*/ 521391 h 1220865"/>
              <a:gd name="connsiteX31" fmla="*/ 1029170 w 1247958"/>
              <a:gd name="connsiteY31" fmla="*/ 338844 h 1220865"/>
              <a:gd name="connsiteX32" fmla="*/ 1196501 w 1247958"/>
              <a:gd name="connsiteY32" fmla="*/ 338931 h 1220865"/>
              <a:gd name="connsiteX33" fmla="*/ 1247844 w 1247958"/>
              <a:gd name="connsiteY33" fmla="*/ 389926 h 1220865"/>
              <a:gd name="connsiteX34" fmla="*/ 1247844 w 1247958"/>
              <a:gd name="connsiteY34" fmla="*/ 1167849 h 1220865"/>
              <a:gd name="connsiteX35" fmla="*/ 1195501 w 1247958"/>
              <a:gd name="connsiteY35" fmla="*/ 1220540 h 1220865"/>
              <a:gd name="connsiteX36" fmla="*/ 1025997 w 1247958"/>
              <a:gd name="connsiteY36" fmla="*/ 1220540 h 1220865"/>
              <a:gd name="connsiteX37" fmla="*/ 973915 w 1247958"/>
              <a:gd name="connsiteY37" fmla="*/ 1167762 h 1220865"/>
              <a:gd name="connsiteX38" fmla="*/ 973828 w 1247958"/>
              <a:gd name="connsiteY38" fmla="*/ 778844 h 1220865"/>
              <a:gd name="connsiteX39" fmla="*/ 973828 w 1247958"/>
              <a:gd name="connsiteY39" fmla="*/ 394230 h 1220865"/>
              <a:gd name="connsiteX40" fmla="*/ 1029170 w 1247958"/>
              <a:gd name="connsiteY40" fmla="*/ 338844 h 1220865"/>
              <a:gd name="connsiteX41" fmla="*/ 1014519 w 1247958"/>
              <a:gd name="connsiteY41" fmla="*/ 226 h 1220865"/>
              <a:gd name="connsiteX42" fmla="*/ 1049690 w 1247958"/>
              <a:gd name="connsiteY42" fmla="*/ 49177 h 1220865"/>
              <a:gd name="connsiteX43" fmla="*/ 958916 w 1247958"/>
              <a:gd name="connsiteY43" fmla="*/ 253114 h 1220865"/>
              <a:gd name="connsiteX44" fmla="*/ 946309 w 1247958"/>
              <a:gd name="connsiteY44" fmla="*/ 280720 h 1220865"/>
              <a:gd name="connsiteX45" fmla="*/ 893444 w 1247958"/>
              <a:gd name="connsiteY45" fmla="*/ 286241 h 1220865"/>
              <a:gd name="connsiteX46" fmla="*/ 871359 w 1247958"/>
              <a:gd name="connsiteY46" fmla="*/ 256766 h 1220865"/>
              <a:gd name="connsiteX47" fmla="*/ 726243 w 1247958"/>
              <a:gd name="connsiteY47" fmla="*/ 363233 h 1220865"/>
              <a:gd name="connsiteX48" fmla="*/ 143953 w 1247958"/>
              <a:gd name="connsiteY48" fmla="*/ 791930 h 1220865"/>
              <a:gd name="connsiteX49" fmla="*/ 89132 w 1247958"/>
              <a:gd name="connsiteY49" fmla="*/ 783236 h 1220865"/>
              <a:gd name="connsiteX50" fmla="*/ 29138 w 1247958"/>
              <a:gd name="connsiteY50" fmla="*/ 700722 h 1220865"/>
              <a:gd name="connsiteX51" fmla="*/ 38007 w 1247958"/>
              <a:gd name="connsiteY51" fmla="*/ 639250 h 1220865"/>
              <a:gd name="connsiteX52" fmla="*/ 746285 w 1247958"/>
              <a:gd name="connsiteY52" fmla="*/ 117997 h 1220865"/>
              <a:gd name="connsiteX53" fmla="*/ 762109 w 1247958"/>
              <a:gd name="connsiteY53" fmla="*/ 105476 h 1220865"/>
              <a:gd name="connsiteX54" fmla="*/ 741720 w 1247958"/>
              <a:gd name="connsiteY54" fmla="*/ 76218 h 1220865"/>
              <a:gd name="connsiteX55" fmla="*/ 764283 w 1247958"/>
              <a:gd name="connsiteY55" fmla="*/ 26701 h 1220865"/>
              <a:gd name="connsiteX56" fmla="*/ 986609 w 1247958"/>
              <a:gd name="connsiteY56" fmla="*/ 3965 h 1220865"/>
              <a:gd name="connsiteX57" fmla="*/ 1014519 w 1247958"/>
              <a:gd name="connsiteY57" fmla="*/ 226 h 122086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1247958" h="1220865">
                <a:moveTo>
                  <a:pt x="227336" y="1027515"/>
                </a:moveTo>
                <a:cubicBezTo>
                  <a:pt x="257768" y="1028124"/>
                  <a:pt x="273940" y="1047644"/>
                  <a:pt x="274201" y="1078597"/>
                </a:cubicBezTo>
                <a:cubicBezTo>
                  <a:pt x="274419" y="1108985"/>
                  <a:pt x="274375" y="1139417"/>
                  <a:pt x="274158" y="1169805"/>
                </a:cubicBezTo>
                <a:cubicBezTo>
                  <a:pt x="273940" y="1200933"/>
                  <a:pt x="255812" y="1219801"/>
                  <a:pt x="224467" y="1220496"/>
                </a:cubicBezTo>
                <a:cubicBezTo>
                  <a:pt x="195470" y="1221148"/>
                  <a:pt x="166516" y="1220627"/>
                  <a:pt x="137563" y="1220670"/>
                </a:cubicBezTo>
                <a:cubicBezTo>
                  <a:pt x="109348" y="1220670"/>
                  <a:pt x="81090" y="1221018"/>
                  <a:pt x="52875" y="1220583"/>
                </a:cubicBezTo>
                <a:cubicBezTo>
                  <a:pt x="18574" y="1220061"/>
                  <a:pt x="576" y="1202063"/>
                  <a:pt x="228" y="1168197"/>
                </a:cubicBezTo>
                <a:cubicBezTo>
                  <a:pt x="-76" y="1138504"/>
                  <a:pt x="-76" y="1108855"/>
                  <a:pt x="228" y="1079162"/>
                </a:cubicBezTo>
                <a:cubicBezTo>
                  <a:pt x="576" y="1048296"/>
                  <a:pt x="16705" y="1028689"/>
                  <a:pt x="47137" y="1027906"/>
                </a:cubicBezTo>
                <a:cubicBezTo>
                  <a:pt x="107174" y="1026341"/>
                  <a:pt x="167299" y="1026298"/>
                  <a:pt x="227336" y="1027515"/>
                </a:cubicBezTo>
                <a:close/>
                <a:moveTo>
                  <a:pt x="378495" y="741500"/>
                </a:moveTo>
                <a:cubicBezTo>
                  <a:pt x="434229" y="741195"/>
                  <a:pt x="489919" y="741152"/>
                  <a:pt x="545653" y="741500"/>
                </a:cubicBezTo>
                <a:cubicBezTo>
                  <a:pt x="582605" y="741717"/>
                  <a:pt x="599256" y="759281"/>
                  <a:pt x="599299" y="796842"/>
                </a:cubicBezTo>
                <a:cubicBezTo>
                  <a:pt x="599343" y="917700"/>
                  <a:pt x="599343" y="1038557"/>
                  <a:pt x="599299" y="1159372"/>
                </a:cubicBezTo>
                <a:cubicBezTo>
                  <a:pt x="599299" y="1204106"/>
                  <a:pt x="582692" y="1220540"/>
                  <a:pt x="537610" y="1220583"/>
                </a:cubicBezTo>
                <a:cubicBezTo>
                  <a:pt x="485528" y="1220626"/>
                  <a:pt x="433403" y="1220713"/>
                  <a:pt x="381321" y="1220540"/>
                </a:cubicBezTo>
                <a:cubicBezTo>
                  <a:pt x="342542" y="1220409"/>
                  <a:pt x="325457" y="1203715"/>
                  <a:pt x="325327" y="1165414"/>
                </a:cubicBezTo>
                <a:cubicBezTo>
                  <a:pt x="325066" y="1104029"/>
                  <a:pt x="325196" y="1042514"/>
                  <a:pt x="325196" y="980998"/>
                </a:cubicBezTo>
                <a:cubicBezTo>
                  <a:pt x="325153" y="918743"/>
                  <a:pt x="324979" y="856532"/>
                  <a:pt x="325240" y="794277"/>
                </a:cubicBezTo>
                <a:cubicBezTo>
                  <a:pt x="325413" y="757759"/>
                  <a:pt x="341542" y="741717"/>
                  <a:pt x="378495" y="741500"/>
                </a:cubicBezTo>
                <a:close/>
                <a:moveTo>
                  <a:pt x="700811" y="521391"/>
                </a:moveTo>
                <a:cubicBezTo>
                  <a:pt x="756588" y="521304"/>
                  <a:pt x="812409" y="521304"/>
                  <a:pt x="868186" y="521522"/>
                </a:cubicBezTo>
                <a:cubicBezTo>
                  <a:pt x="907877" y="521696"/>
                  <a:pt x="922746" y="536868"/>
                  <a:pt x="922789" y="577125"/>
                </a:cubicBezTo>
                <a:cubicBezTo>
                  <a:pt x="922919" y="674941"/>
                  <a:pt x="922832" y="772758"/>
                  <a:pt x="922832" y="870574"/>
                </a:cubicBezTo>
                <a:cubicBezTo>
                  <a:pt x="922746" y="870531"/>
                  <a:pt x="922659" y="870531"/>
                  <a:pt x="922572" y="870531"/>
                </a:cubicBezTo>
                <a:cubicBezTo>
                  <a:pt x="922572" y="969086"/>
                  <a:pt x="922746" y="1067598"/>
                  <a:pt x="922485" y="1166154"/>
                </a:cubicBezTo>
                <a:cubicBezTo>
                  <a:pt x="922398" y="1203976"/>
                  <a:pt x="906052" y="1220192"/>
                  <a:pt x="868055" y="1220453"/>
                </a:cubicBezTo>
                <a:cubicBezTo>
                  <a:pt x="812974" y="1220844"/>
                  <a:pt x="757936" y="1220844"/>
                  <a:pt x="702854" y="1220540"/>
                </a:cubicBezTo>
                <a:cubicBezTo>
                  <a:pt x="667684" y="1220366"/>
                  <a:pt x="648860" y="1201933"/>
                  <a:pt x="648816" y="1166980"/>
                </a:cubicBezTo>
                <a:cubicBezTo>
                  <a:pt x="648599" y="969173"/>
                  <a:pt x="648599" y="771410"/>
                  <a:pt x="648816" y="573604"/>
                </a:cubicBezTo>
                <a:cubicBezTo>
                  <a:pt x="648860" y="538998"/>
                  <a:pt x="666814" y="521435"/>
                  <a:pt x="700811" y="521391"/>
                </a:cubicBezTo>
                <a:close/>
                <a:moveTo>
                  <a:pt x="1029170" y="338844"/>
                </a:moveTo>
                <a:cubicBezTo>
                  <a:pt x="1084947" y="338757"/>
                  <a:pt x="1140724" y="338670"/>
                  <a:pt x="1196501" y="338931"/>
                </a:cubicBezTo>
                <a:cubicBezTo>
                  <a:pt x="1229455" y="339061"/>
                  <a:pt x="1247801" y="357016"/>
                  <a:pt x="1247844" y="389926"/>
                </a:cubicBezTo>
                <a:cubicBezTo>
                  <a:pt x="1248018" y="649248"/>
                  <a:pt x="1247975" y="908527"/>
                  <a:pt x="1247844" y="1167849"/>
                </a:cubicBezTo>
                <a:cubicBezTo>
                  <a:pt x="1247844" y="1201846"/>
                  <a:pt x="1229585" y="1220279"/>
                  <a:pt x="1195501" y="1220540"/>
                </a:cubicBezTo>
                <a:cubicBezTo>
                  <a:pt x="1139029" y="1220974"/>
                  <a:pt x="1082513" y="1220974"/>
                  <a:pt x="1025997" y="1220540"/>
                </a:cubicBezTo>
                <a:cubicBezTo>
                  <a:pt x="992087" y="1220279"/>
                  <a:pt x="973915" y="1201628"/>
                  <a:pt x="973915" y="1167762"/>
                </a:cubicBezTo>
                <a:cubicBezTo>
                  <a:pt x="973741" y="1038166"/>
                  <a:pt x="973828" y="908527"/>
                  <a:pt x="973828" y="778844"/>
                </a:cubicBezTo>
                <a:cubicBezTo>
                  <a:pt x="973828" y="650639"/>
                  <a:pt x="973784" y="522435"/>
                  <a:pt x="973828" y="394230"/>
                </a:cubicBezTo>
                <a:cubicBezTo>
                  <a:pt x="973828" y="355147"/>
                  <a:pt x="990044" y="338931"/>
                  <a:pt x="1029170" y="338844"/>
                </a:cubicBezTo>
                <a:close/>
                <a:moveTo>
                  <a:pt x="1014519" y="226"/>
                </a:moveTo>
                <a:cubicBezTo>
                  <a:pt x="1048125" y="-2426"/>
                  <a:pt x="1063254" y="18441"/>
                  <a:pt x="1049690" y="49177"/>
                </a:cubicBezTo>
                <a:cubicBezTo>
                  <a:pt x="1019649" y="117258"/>
                  <a:pt x="989217" y="185164"/>
                  <a:pt x="958916" y="253114"/>
                </a:cubicBezTo>
                <a:cubicBezTo>
                  <a:pt x="954786" y="262374"/>
                  <a:pt x="951134" y="271851"/>
                  <a:pt x="946309" y="280720"/>
                </a:cubicBezTo>
                <a:cubicBezTo>
                  <a:pt x="933701" y="303935"/>
                  <a:pt x="910616" y="306370"/>
                  <a:pt x="893444" y="286241"/>
                </a:cubicBezTo>
                <a:cubicBezTo>
                  <a:pt x="885967" y="277459"/>
                  <a:pt x="879533" y="267808"/>
                  <a:pt x="871359" y="256766"/>
                </a:cubicBezTo>
                <a:cubicBezTo>
                  <a:pt x="822712" y="292458"/>
                  <a:pt x="774412" y="327759"/>
                  <a:pt x="726243" y="363233"/>
                </a:cubicBezTo>
                <a:cubicBezTo>
                  <a:pt x="532132" y="506132"/>
                  <a:pt x="338108" y="649075"/>
                  <a:pt x="143953" y="791930"/>
                </a:cubicBezTo>
                <a:cubicBezTo>
                  <a:pt x="121042" y="808755"/>
                  <a:pt x="106217" y="806407"/>
                  <a:pt x="89132" y="783236"/>
                </a:cubicBezTo>
                <a:cubicBezTo>
                  <a:pt x="68960" y="755847"/>
                  <a:pt x="49223" y="728154"/>
                  <a:pt x="29138" y="700722"/>
                </a:cubicBezTo>
                <a:cubicBezTo>
                  <a:pt x="8879" y="673073"/>
                  <a:pt x="10836" y="659248"/>
                  <a:pt x="38007" y="639250"/>
                </a:cubicBezTo>
                <a:cubicBezTo>
                  <a:pt x="274114" y="465528"/>
                  <a:pt x="510221" y="291762"/>
                  <a:pt x="746285" y="117997"/>
                </a:cubicBezTo>
                <a:cubicBezTo>
                  <a:pt x="751371" y="114215"/>
                  <a:pt x="756284" y="110085"/>
                  <a:pt x="762109" y="105476"/>
                </a:cubicBezTo>
                <a:cubicBezTo>
                  <a:pt x="754806" y="95086"/>
                  <a:pt x="747850" y="85913"/>
                  <a:pt x="741720" y="76218"/>
                </a:cubicBezTo>
                <a:cubicBezTo>
                  <a:pt x="727113" y="53177"/>
                  <a:pt x="737460" y="29571"/>
                  <a:pt x="764283" y="26701"/>
                </a:cubicBezTo>
                <a:cubicBezTo>
                  <a:pt x="838363" y="18702"/>
                  <a:pt x="912529" y="11572"/>
                  <a:pt x="986609" y="3965"/>
                </a:cubicBezTo>
                <a:cubicBezTo>
                  <a:pt x="995956" y="3008"/>
                  <a:pt x="1005172" y="965"/>
                  <a:pt x="1014519" y="226"/>
                </a:cubicBezTo>
                <a:close/>
              </a:path>
            </a:pathLst>
          </a:custGeom>
          <a:gradFill flip="none" rotWithShape="1">
            <a:gsLst>
              <a:gs pos="40000">
                <a:srgbClr val="9E78F9"/>
              </a:gs>
              <a:gs pos="60000">
                <a:srgbClr val="29BFFB"/>
              </a:gs>
            </a:gsLst>
            <a:lin ang="5400000" scaled="0"/>
            <a:tileRect/>
          </a:gradFill>
          <a:ln w="9525">
            <a:noFill/>
          </a:ln>
          <a:effectLst>
            <a:outerShdw blurRad="190500" dist="127000" dir="5400000" algn="tr" rotWithShape="0">
              <a:srgbClr val="9E78F9">
                <a:alpha val="37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US">
              <a:solidFill>
                <a:schemeClr val="lt1"/>
              </a:solidFill>
            </a:endParaRPr>
          </a:p>
        </xdr:txBody>
      </xdr:sp>
    </xdr:grpSp>
    <xdr:clientData/>
  </xdr:twoCellAnchor>
  <xdr:twoCellAnchor>
    <xdr:from>
      <xdr:col>15</xdr:col>
      <xdr:colOff>97608</xdr:colOff>
      <xdr:row>9</xdr:row>
      <xdr:rowOff>124690</xdr:rowOff>
    </xdr:from>
    <xdr:to>
      <xdr:col>22</xdr:col>
      <xdr:colOff>170155</xdr:colOff>
      <xdr:row>21</xdr:row>
      <xdr:rowOff>145472</xdr:rowOff>
    </xdr:to>
    <xdr:sp macro="" textlink="">
      <xdr:nvSpPr>
        <xdr:cNvPr id="33" name="Rectangle: Rounded Corners 32">
          <a:extLst>
            <a:ext uri="{FF2B5EF4-FFF2-40B4-BE49-F238E27FC236}">
              <a16:creationId xmlns:a16="http://schemas.microsoft.com/office/drawing/2014/main" id="{00000000-0008-0000-0100-000021000000}"/>
            </a:ext>
          </a:extLst>
        </xdr:cNvPr>
        <xdr:cNvSpPr/>
      </xdr:nvSpPr>
      <xdr:spPr>
        <a:xfrm>
          <a:off x="9197220" y="1789253"/>
          <a:ext cx="4319032" cy="2240200"/>
        </a:xfrm>
        <a:prstGeom prst="roundRect">
          <a:avLst>
            <a:gd name="adj" fmla="val 11970"/>
          </a:avLst>
        </a:prstGeom>
        <a:gradFill flip="none" rotWithShape="1">
          <a:gsLst>
            <a:gs pos="15000">
              <a:srgbClr val="136DBF"/>
            </a:gs>
            <a:gs pos="76000">
              <a:srgbClr val="050B29"/>
            </a:gs>
          </a:gsLst>
          <a:path path="circle">
            <a:fillToRect l="50000" t="-80000" r="50000" b="180000"/>
          </a:path>
          <a:tileRect/>
        </a:gradFill>
        <a:ln w="9525">
          <a:solidFill>
            <a:srgbClr val="00164C"/>
          </a:solidFill>
        </a:ln>
        <a:effectLst>
          <a:outerShdw blurRad="190500" dist="1270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2">
                <a:lumMod val="50000"/>
                <a:lumOff val="50000"/>
              </a:schemeClr>
            </a:solidFill>
          </a:endParaRPr>
        </a:p>
      </xdr:txBody>
    </xdr:sp>
    <xdr:clientData/>
  </xdr:twoCellAnchor>
  <xdr:twoCellAnchor>
    <xdr:from>
      <xdr:col>4</xdr:col>
      <xdr:colOff>12990</xdr:colOff>
      <xdr:row>2</xdr:row>
      <xdr:rowOff>69272</xdr:rowOff>
    </xdr:from>
    <xdr:to>
      <xdr:col>7</xdr:col>
      <xdr:colOff>284516</xdr:colOff>
      <xdr:row>8</xdr:row>
      <xdr:rowOff>149905</xdr:rowOff>
    </xdr:to>
    <xdr:grpSp>
      <xdr:nvGrpSpPr>
        <xdr:cNvPr id="65" name="Group 64">
          <a:extLst>
            <a:ext uri="{FF2B5EF4-FFF2-40B4-BE49-F238E27FC236}">
              <a16:creationId xmlns:a16="http://schemas.microsoft.com/office/drawing/2014/main" id="{00000000-0008-0000-0100-000041000000}"/>
            </a:ext>
          </a:extLst>
        </xdr:cNvPr>
        <xdr:cNvGrpSpPr/>
      </xdr:nvGrpSpPr>
      <xdr:grpSpPr>
        <a:xfrm>
          <a:off x="2439553" y="439175"/>
          <a:ext cx="2091448" cy="1190342"/>
          <a:chOff x="0" y="0"/>
          <a:chExt cx="1908048" cy="1347216"/>
        </a:xfrm>
        <a:effectLst>
          <a:outerShdw blurRad="254000" dist="127000" dir="8100000" algn="tr" rotWithShape="0">
            <a:prstClr val="black">
              <a:alpha val="90000"/>
            </a:prstClr>
          </a:outerShdw>
        </a:effectLst>
      </xdr:grpSpPr>
      <xdr:sp macro="" textlink="">
        <xdr:nvSpPr>
          <xdr:cNvPr id="68" name="Rectangle: Rounded Corners 67">
            <a:extLst>
              <a:ext uri="{FF2B5EF4-FFF2-40B4-BE49-F238E27FC236}">
                <a16:creationId xmlns:a16="http://schemas.microsoft.com/office/drawing/2014/main" id="{00000000-0008-0000-0100-000044000000}"/>
              </a:ext>
            </a:extLst>
          </xdr:cNvPr>
          <xdr:cNvSpPr/>
        </xdr:nvSpPr>
        <xdr:spPr>
          <a:xfrm>
            <a:off x="0" y="0"/>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69" name="Rectangle: Rounded Corners 68">
            <a:extLst>
              <a:ext uri="{FF2B5EF4-FFF2-40B4-BE49-F238E27FC236}">
                <a16:creationId xmlns:a16="http://schemas.microsoft.com/office/drawing/2014/main" id="{00000000-0008-0000-0100-000045000000}"/>
              </a:ext>
            </a:extLst>
          </xdr:cNvPr>
          <xdr:cNvSpPr/>
        </xdr:nvSpPr>
        <xdr:spPr>
          <a:xfrm>
            <a:off x="0" y="0"/>
            <a:ext cx="1908048" cy="1347216"/>
          </a:xfrm>
          <a:prstGeom prst="roundRect">
            <a:avLst>
              <a:gd name="adj" fmla="val 9880"/>
            </a:avLst>
          </a:prstGeom>
          <a:gradFill flip="none" rotWithShape="1">
            <a:gsLst>
              <a:gs pos="52000">
                <a:srgbClr val="1F1F98">
                  <a:alpha val="0"/>
                </a:srgbClr>
              </a:gs>
              <a:gs pos="4000">
                <a:srgbClr val="CC00CC"/>
              </a:gs>
            </a:gsLst>
            <a:lin ang="2700000" scaled="1"/>
            <a:tileRect/>
          </a:gradFill>
          <a:ln w="9525">
            <a:gradFill flip="none" rotWithShape="1">
              <a:gsLst>
                <a:gs pos="12000">
                  <a:srgbClr val="F6A6FC"/>
                </a:gs>
                <a:gs pos="68000">
                  <a:srgbClr val="7CF2FD"/>
                </a:gs>
                <a:gs pos="87000">
                  <a:srgbClr val="4F33DD"/>
                </a:gs>
              </a:gsLst>
              <a:lin ang="18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a:solidFill>
                <a:schemeClr val="bg1"/>
              </a:solidFill>
            </a:endParaRPr>
          </a:p>
        </xdr:txBody>
      </xdr:sp>
    </xdr:grpSp>
    <xdr:clientData/>
  </xdr:twoCellAnchor>
  <xdr:twoCellAnchor>
    <xdr:from>
      <xdr:col>4</xdr:col>
      <xdr:colOff>241806</xdr:colOff>
      <xdr:row>2</xdr:row>
      <xdr:rowOff>92887</xdr:rowOff>
    </xdr:from>
    <xdr:to>
      <xdr:col>6</xdr:col>
      <xdr:colOff>161825</xdr:colOff>
      <xdr:row>4</xdr:row>
      <xdr:rowOff>17837</xdr:rowOff>
    </xdr:to>
    <xdr:sp macro="" textlink="Processing!A1">
      <xdr:nvSpPr>
        <xdr:cNvPr id="66" name="TextBox 65">
          <a:extLst>
            <a:ext uri="{FF2B5EF4-FFF2-40B4-BE49-F238E27FC236}">
              <a16:creationId xmlns:a16="http://schemas.microsoft.com/office/drawing/2014/main" id="{00000000-0008-0000-0100-000042000000}"/>
            </a:ext>
          </a:extLst>
        </xdr:cNvPr>
        <xdr:cNvSpPr txBox="1"/>
      </xdr:nvSpPr>
      <xdr:spPr>
        <a:xfrm>
          <a:off x="2668369" y="462790"/>
          <a:ext cx="1133301" cy="2948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83906B0A-5921-4DD8-B74F-C11B1776BFAD}" type="TxLink">
            <a:rPr lang="en-US" sz="1400" b="1" i="0" u="none" strike="noStrike">
              <a:solidFill>
                <a:schemeClr val="bg1"/>
              </a:solidFill>
              <a:effectLst>
                <a:outerShdw blurRad="50800" dist="38100" dir="2700000" algn="tl" rotWithShape="0">
                  <a:prstClr val="black">
                    <a:alpha val="40000"/>
                  </a:prstClr>
                </a:outerShdw>
              </a:effectLst>
              <a:latin typeface="Calibri"/>
              <a:ea typeface="+mn-ea"/>
              <a:cs typeface="Calibri"/>
            </a:rPr>
            <a:pPr marL="0" indent="0"/>
            <a:t>Total Revenue</a:t>
          </a:fld>
          <a:endParaRPr lang="en-US" sz="1400" b="1" i="0" u="none" strike="noStrike">
            <a:solidFill>
              <a:schemeClr val="bg1"/>
            </a:solidFill>
            <a:effectLst>
              <a:outerShdw blurRad="50800" dist="38100" dir="2700000" algn="tl" rotWithShape="0">
                <a:prstClr val="black">
                  <a:alpha val="40000"/>
                </a:prstClr>
              </a:outerShdw>
            </a:effectLst>
            <a:latin typeface="Calibri"/>
            <a:ea typeface="+mn-ea"/>
            <a:cs typeface="Calibri"/>
          </a:endParaRPr>
        </a:p>
      </xdr:txBody>
    </xdr:sp>
    <xdr:clientData/>
  </xdr:twoCellAnchor>
  <xdr:twoCellAnchor>
    <xdr:from>
      <xdr:col>3</xdr:col>
      <xdr:colOff>596371</xdr:colOff>
      <xdr:row>4</xdr:row>
      <xdr:rowOff>64983</xdr:rowOff>
    </xdr:from>
    <xdr:to>
      <xdr:col>7</xdr:col>
      <xdr:colOff>314004</xdr:colOff>
      <xdr:row>7</xdr:row>
      <xdr:rowOff>151122</xdr:rowOff>
    </xdr:to>
    <xdr:sp macro="" textlink="Processing!A2">
      <xdr:nvSpPr>
        <xdr:cNvPr id="67" name="TextBox 66">
          <a:extLst>
            <a:ext uri="{FF2B5EF4-FFF2-40B4-BE49-F238E27FC236}">
              <a16:creationId xmlns:a16="http://schemas.microsoft.com/office/drawing/2014/main" id="{00000000-0008-0000-0100-000043000000}"/>
            </a:ext>
          </a:extLst>
        </xdr:cNvPr>
        <xdr:cNvSpPr txBox="1"/>
      </xdr:nvSpPr>
      <xdr:spPr>
        <a:xfrm>
          <a:off x="2416293" y="804789"/>
          <a:ext cx="2144196" cy="6409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EF6E290D-C54A-4F7F-A738-552CDA2845B6}" type="TxLink">
            <a:rPr lang="en-US" sz="3800" b="1" i="0" u="none" strike="noStrike">
              <a:solidFill>
                <a:schemeClr val="bg1"/>
              </a:solidFill>
              <a:effectLst>
                <a:outerShdw blurRad="50800" dist="38100" dir="2700000" algn="tl" rotWithShape="0">
                  <a:prstClr val="black">
                    <a:alpha val="40000"/>
                  </a:prstClr>
                </a:outerShdw>
              </a:effectLst>
              <a:latin typeface="Roboto" panose="02000000000000000000" pitchFamily="2" charset="0"/>
              <a:ea typeface="Roboto" panose="02000000000000000000" pitchFamily="2" charset="0"/>
              <a:cs typeface="Calibri"/>
            </a:rPr>
            <a:pPr marL="0" indent="0" algn="ctr"/>
            <a:t>33.6M</a:t>
          </a:fld>
          <a:endParaRPr lang="en-US" sz="3800" b="1" i="0" u="none" strike="noStrike">
            <a:solidFill>
              <a:schemeClr val="bg1"/>
            </a:solidFill>
            <a:effectLst>
              <a:outerShdw blurRad="50800" dist="38100" dir="2700000" algn="tl" rotWithShape="0">
                <a:prstClr val="black">
                  <a:alpha val="40000"/>
                </a:prstClr>
              </a:outerShdw>
            </a:effectLst>
            <a:latin typeface="Roboto" panose="02000000000000000000" pitchFamily="2" charset="0"/>
            <a:ea typeface="Roboto" panose="02000000000000000000" pitchFamily="2" charset="0"/>
            <a:cs typeface="Calibri"/>
          </a:endParaRPr>
        </a:p>
      </xdr:txBody>
    </xdr:sp>
    <xdr:clientData/>
  </xdr:twoCellAnchor>
  <xdr:twoCellAnchor>
    <xdr:from>
      <xdr:col>7</xdr:col>
      <xdr:colOff>474369</xdr:colOff>
      <xdr:row>2</xdr:row>
      <xdr:rowOff>27708</xdr:rowOff>
    </xdr:from>
    <xdr:to>
      <xdr:col>11</xdr:col>
      <xdr:colOff>139254</xdr:colOff>
      <xdr:row>8</xdr:row>
      <xdr:rowOff>165464</xdr:rowOff>
    </xdr:to>
    <xdr:grpSp>
      <xdr:nvGrpSpPr>
        <xdr:cNvPr id="71" name="Group 70">
          <a:extLst>
            <a:ext uri="{FF2B5EF4-FFF2-40B4-BE49-F238E27FC236}">
              <a16:creationId xmlns:a16="http://schemas.microsoft.com/office/drawing/2014/main" id="{00000000-0008-0000-0100-000047000000}"/>
            </a:ext>
          </a:extLst>
        </xdr:cNvPr>
        <xdr:cNvGrpSpPr/>
      </xdr:nvGrpSpPr>
      <xdr:grpSpPr>
        <a:xfrm>
          <a:off x="4720854" y="397611"/>
          <a:ext cx="2091449" cy="1247465"/>
          <a:chOff x="2560320" y="0"/>
          <a:chExt cx="1908048" cy="1347216"/>
        </a:xfrm>
        <a:effectLst>
          <a:outerShdw blurRad="254000" dist="127000" dir="8100000" algn="tr" rotWithShape="0">
            <a:prstClr val="black">
              <a:alpha val="90000"/>
            </a:prstClr>
          </a:outerShdw>
        </a:effectLst>
      </xdr:grpSpPr>
      <xdr:sp macro="" textlink="">
        <xdr:nvSpPr>
          <xdr:cNvPr id="74" name="Rectangle: Rounded Corners 73">
            <a:extLst>
              <a:ext uri="{FF2B5EF4-FFF2-40B4-BE49-F238E27FC236}">
                <a16:creationId xmlns:a16="http://schemas.microsoft.com/office/drawing/2014/main" id="{00000000-0008-0000-0100-00004A000000}"/>
              </a:ext>
            </a:extLst>
          </xdr:cNvPr>
          <xdr:cNvSpPr/>
        </xdr:nvSpPr>
        <xdr:spPr>
          <a:xfrm>
            <a:off x="2560320" y="0"/>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5" name="Rectangle: Rounded Corners 74">
            <a:extLst>
              <a:ext uri="{FF2B5EF4-FFF2-40B4-BE49-F238E27FC236}">
                <a16:creationId xmlns:a16="http://schemas.microsoft.com/office/drawing/2014/main" id="{00000000-0008-0000-0100-00004B000000}"/>
              </a:ext>
            </a:extLst>
          </xdr:cNvPr>
          <xdr:cNvSpPr/>
        </xdr:nvSpPr>
        <xdr:spPr>
          <a:xfrm>
            <a:off x="2560320" y="0"/>
            <a:ext cx="1908048" cy="1347216"/>
          </a:xfrm>
          <a:prstGeom prst="roundRect">
            <a:avLst>
              <a:gd name="adj" fmla="val 9880"/>
            </a:avLst>
          </a:prstGeom>
          <a:gradFill flip="none" rotWithShape="1">
            <a:gsLst>
              <a:gs pos="52000">
                <a:srgbClr val="1F1F98">
                  <a:alpha val="0"/>
                </a:srgbClr>
              </a:gs>
              <a:gs pos="4000">
                <a:srgbClr val="1EC0E2"/>
              </a:gs>
            </a:gsLst>
            <a:lin ang="2700000" scaled="1"/>
            <a:tileRect/>
          </a:gradFill>
          <a:ln w="9525">
            <a:gradFill flip="none" rotWithShape="1">
              <a:gsLst>
                <a:gs pos="21000">
                  <a:srgbClr val="9DFFFF"/>
                </a:gs>
                <a:gs pos="81000">
                  <a:srgbClr val="CC00FF"/>
                </a:gs>
              </a:gsLst>
              <a:lin ang="27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183470</xdr:colOff>
      <xdr:row>2</xdr:row>
      <xdr:rowOff>85812</xdr:rowOff>
    </xdr:from>
    <xdr:to>
      <xdr:col>11</xdr:col>
      <xdr:colOff>94948</xdr:colOff>
      <xdr:row>4</xdr:row>
      <xdr:rowOff>24912</xdr:rowOff>
    </xdr:to>
    <xdr:sp macro="" textlink="Processing!B1">
      <xdr:nvSpPr>
        <xdr:cNvPr id="72" name="TextBox 71">
          <a:extLst>
            <a:ext uri="{FF2B5EF4-FFF2-40B4-BE49-F238E27FC236}">
              <a16:creationId xmlns:a16="http://schemas.microsoft.com/office/drawing/2014/main" id="{00000000-0008-0000-0100-000048000000}"/>
            </a:ext>
          </a:extLst>
        </xdr:cNvPr>
        <xdr:cNvSpPr txBox="1"/>
      </xdr:nvSpPr>
      <xdr:spPr>
        <a:xfrm>
          <a:off x="5036596" y="455715"/>
          <a:ext cx="1731401" cy="3090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C7CFFB05-D841-4751-A534-4281665B30B6}" type="TxLink">
            <a:rPr lang="en-US" sz="1400" b="1" i="0" u="none" strike="noStrike">
              <a:solidFill>
                <a:schemeClr val="bg1"/>
              </a:solidFill>
              <a:effectLst>
                <a:outerShdw blurRad="50800" dist="38100" dir="2700000" algn="tl" rotWithShape="0">
                  <a:prstClr val="black">
                    <a:alpha val="40000"/>
                  </a:prstClr>
                </a:outerShdw>
              </a:effectLst>
              <a:latin typeface="Calibri"/>
              <a:ea typeface="+mn-ea"/>
              <a:cs typeface="Calibri"/>
            </a:rPr>
            <a:pPr marL="0" indent="0"/>
            <a:t>Total Spend</a:t>
          </a:fld>
          <a:endParaRPr lang="en-US" sz="1400" b="1" i="0" u="none" strike="noStrike">
            <a:solidFill>
              <a:schemeClr val="bg1"/>
            </a:solidFill>
            <a:effectLst>
              <a:outerShdw blurRad="50800" dist="38100" dir="2700000" algn="tl" rotWithShape="0">
                <a:prstClr val="black">
                  <a:alpha val="40000"/>
                </a:prstClr>
              </a:outerShdw>
            </a:effectLst>
            <a:latin typeface="Calibri"/>
            <a:ea typeface="+mn-ea"/>
            <a:cs typeface="Calibri"/>
          </a:endParaRPr>
        </a:p>
      </xdr:txBody>
    </xdr:sp>
    <xdr:clientData/>
  </xdr:twoCellAnchor>
  <xdr:twoCellAnchor>
    <xdr:from>
      <xdr:col>7</xdr:col>
      <xdr:colOff>443032</xdr:colOff>
      <xdr:row>4</xdr:row>
      <xdr:rowOff>40965</xdr:rowOff>
    </xdr:from>
    <xdr:to>
      <xdr:col>11</xdr:col>
      <xdr:colOff>160664</xdr:colOff>
      <xdr:row>7</xdr:row>
      <xdr:rowOff>157865</xdr:rowOff>
    </xdr:to>
    <xdr:sp macro="" textlink="Processing!B2">
      <xdr:nvSpPr>
        <xdr:cNvPr id="73" name="TextBox 72">
          <a:extLst>
            <a:ext uri="{FF2B5EF4-FFF2-40B4-BE49-F238E27FC236}">
              <a16:creationId xmlns:a16="http://schemas.microsoft.com/office/drawing/2014/main" id="{00000000-0008-0000-0100-000049000000}"/>
            </a:ext>
          </a:extLst>
        </xdr:cNvPr>
        <xdr:cNvSpPr txBox="1"/>
      </xdr:nvSpPr>
      <xdr:spPr>
        <a:xfrm>
          <a:off x="4689517" y="780771"/>
          <a:ext cx="2144196" cy="6717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99B629C1-38BD-47EE-A179-A6EC8DD0E7DA}" type="TxLink">
            <a:rPr lang="en-US" sz="3800" b="1" i="0" u="none" strike="noStrike">
              <a:solidFill>
                <a:schemeClr val="bg1"/>
              </a:solidFill>
              <a:effectLst>
                <a:outerShdw blurRad="50800" dist="38100" dir="2700000" algn="tl" rotWithShape="0">
                  <a:prstClr val="black">
                    <a:alpha val="40000"/>
                  </a:prstClr>
                </a:outerShdw>
              </a:effectLst>
              <a:latin typeface="Roboto" panose="02000000000000000000" pitchFamily="2" charset="0"/>
              <a:ea typeface="Roboto" panose="02000000000000000000" pitchFamily="2" charset="0"/>
              <a:cs typeface="Calibri"/>
            </a:rPr>
            <a:pPr marL="0" indent="0" algn="ctr"/>
            <a:t>4.1M</a:t>
          </a:fld>
          <a:endParaRPr lang="en-US" sz="3800" b="1" i="0" u="none" strike="noStrike">
            <a:solidFill>
              <a:schemeClr val="bg1"/>
            </a:solidFill>
            <a:effectLst>
              <a:outerShdw blurRad="50800" dist="38100" dir="2700000" algn="tl" rotWithShape="0">
                <a:prstClr val="black">
                  <a:alpha val="40000"/>
                </a:prstClr>
              </a:outerShdw>
            </a:effectLst>
            <a:latin typeface="Roboto" panose="02000000000000000000" pitchFamily="2" charset="0"/>
            <a:ea typeface="Roboto" panose="02000000000000000000" pitchFamily="2" charset="0"/>
            <a:cs typeface="Calibri"/>
          </a:endParaRPr>
        </a:p>
      </xdr:txBody>
    </xdr:sp>
    <xdr:clientData/>
  </xdr:twoCellAnchor>
  <xdr:twoCellAnchor>
    <xdr:from>
      <xdr:col>15</xdr:col>
      <xdr:colOff>88241</xdr:colOff>
      <xdr:row>2</xdr:row>
      <xdr:rowOff>27708</xdr:rowOff>
    </xdr:from>
    <xdr:to>
      <xdr:col>18</xdr:col>
      <xdr:colOff>362561</xdr:colOff>
      <xdr:row>8</xdr:row>
      <xdr:rowOff>165464</xdr:rowOff>
    </xdr:to>
    <xdr:grpSp>
      <xdr:nvGrpSpPr>
        <xdr:cNvPr id="77" name="Group 76">
          <a:extLst>
            <a:ext uri="{FF2B5EF4-FFF2-40B4-BE49-F238E27FC236}">
              <a16:creationId xmlns:a16="http://schemas.microsoft.com/office/drawing/2014/main" id="{00000000-0008-0000-0100-00004D000000}"/>
            </a:ext>
          </a:extLst>
        </xdr:cNvPr>
        <xdr:cNvGrpSpPr/>
      </xdr:nvGrpSpPr>
      <xdr:grpSpPr>
        <a:xfrm>
          <a:off x="9187853" y="397611"/>
          <a:ext cx="2094242" cy="1247465"/>
          <a:chOff x="5131308" y="0"/>
          <a:chExt cx="1908048" cy="1347216"/>
        </a:xfrm>
        <a:effectLst>
          <a:outerShdw blurRad="254000" dist="127000" dir="8100000" algn="tr" rotWithShape="0">
            <a:prstClr val="black">
              <a:alpha val="90000"/>
            </a:prstClr>
          </a:outerShdw>
        </a:effectLst>
      </xdr:grpSpPr>
      <xdr:sp macro="" textlink="">
        <xdr:nvSpPr>
          <xdr:cNvPr id="80" name="Rectangle: Rounded Corners 79">
            <a:extLst>
              <a:ext uri="{FF2B5EF4-FFF2-40B4-BE49-F238E27FC236}">
                <a16:creationId xmlns:a16="http://schemas.microsoft.com/office/drawing/2014/main" id="{00000000-0008-0000-0100-000050000000}"/>
              </a:ext>
            </a:extLst>
          </xdr:cNvPr>
          <xdr:cNvSpPr/>
        </xdr:nvSpPr>
        <xdr:spPr>
          <a:xfrm>
            <a:off x="5131308" y="0"/>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1" name="Rectangle: Rounded Corners 80">
            <a:extLst>
              <a:ext uri="{FF2B5EF4-FFF2-40B4-BE49-F238E27FC236}">
                <a16:creationId xmlns:a16="http://schemas.microsoft.com/office/drawing/2014/main" id="{00000000-0008-0000-0100-000051000000}"/>
              </a:ext>
            </a:extLst>
          </xdr:cNvPr>
          <xdr:cNvSpPr/>
        </xdr:nvSpPr>
        <xdr:spPr>
          <a:xfrm>
            <a:off x="5131308" y="0"/>
            <a:ext cx="1908048" cy="1347216"/>
          </a:xfrm>
          <a:prstGeom prst="roundRect">
            <a:avLst>
              <a:gd name="adj" fmla="val 9880"/>
            </a:avLst>
          </a:prstGeom>
          <a:gradFill flip="none" rotWithShape="1">
            <a:gsLst>
              <a:gs pos="52000">
                <a:srgbClr val="1F1F98">
                  <a:alpha val="0"/>
                </a:srgbClr>
              </a:gs>
              <a:gs pos="4000">
                <a:srgbClr val="9933FF"/>
              </a:gs>
            </a:gsLst>
            <a:lin ang="2700000" scaled="1"/>
            <a:tileRect/>
          </a:gradFill>
          <a:ln w="9525">
            <a:gradFill flip="none" rotWithShape="1">
              <a:gsLst>
                <a:gs pos="14000">
                  <a:srgbClr val="E39CFF"/>
                </a:gs>
                <a:gs pos="39000">
                  <a:srgbClr val="6AF8FF"/>
                </a:gs>
                <a:gs pos="87000">
                  <a:srgbClr val="CC00FF"/>
                </a:gs>
              </a:gsLst>
              <a:lin ang="42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15</xdr:col>
      <xdr:colOff>384898</xdr:colOff>
      <xdr:row>2</xdr:row>
      <xdr:rowOff>85812</xdr:rowOff>
    </xdr:from>
    <xdr:to>
      <xdr:col>18</xdr:col>
      <xdr:colOff>519083</xdr:colOff>
      <xdr:row>4</xdr:row>
      <xdr:rowOff>24912</xdr:rowOff>
    </xdr:to>
    <xdr:sp macro="" textlink="Processing!D1">
      <xdr:nvSpPr>
        <xdr:cNvPr id="78" name="TextBox 77">
          <a:extLst>
            <a:ext uri="{FF2B5EF4-FFF2-40B4-BE49-F238E27FC236}">
              <a16:creationId xmlns:a16="http://schemas.microsoft.com/office/drawing/2014/main" id="{00000000-0008-0000-0100-00004E000000}"/>
            </a:ext>
          </a:extLst>
        </xdr:cNvPr>
        <xdr:cNvSpPr txBox="1"/>
      </xdr:nvSpPr>
      <xdr:spPr>
        <a:xfrm>
          <a:off x="9484510" y="455715"/>
          <a:ext cx="1954107" cy="3090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183FA652-5009-4268-9907-28A28689D7E5}" type="TxLink">
            <a:rPr lang="en-US" sz="1400" b="1" i="0" u="none" strike="noStrike">
              <a:solidFill>
                <a:schemeClr val="bg1"/>
              </a:solidFill>
              <a:effectLst>
                <a:outerShdw blurRad="50800" dist="38100" dir="2700000" algn="tl" rotWithShape="0">
                  <a:prstClr val="black">
                    <a:alpha val="40000"/>
                  </a:prstClr>
                </a:outerShdw>
              </a:effectLst>
              <a:latin typeface="Calibri"/>
              <a:ea typeface="+mn-ea"/>
              <a:cs typeface="Calibri"/>
            </a:rPr>
            <a:pPr marL="0" indent="0"/>
            <a:t>Total Conversions</a:t>
          </a:fld>
          <a:endParaRPr lang="en-US" sz="1400" b="1" i="0" u="none" strike="noStrike">
            <a:solidFill>
              <a:schemeClr val="bg1"/>
            </a:solidFill>
            <a:effectLst>
              <a:outerShdw blurRad="50800" dist="38100" dir="2700000" algn="tl" rotWithShape="0">
                <a:prstClr val="black">
                  <a:alpha val="40000"/>
                </a:prstClr>
              </a:outerShdw>
            </a:effectLst>
            <a:latin typeface="Calibri"/>
            <a:ea typeface="+mn-ea"/>
            <a:cs typeface="Calibri"/>
          </a:endParaRPr>
        </a:p>
      </xdr:txBody>
    </xdr:sp>
    <xdr:clientData/>
  </xdr:twoCellAnchor>
  <xdr:twoCellAnchor>
    <xdr:from>
      <xdr:col>16</xdr:col>
      <xdr:colOff>88240</xdr:colOff>
      <xdr:row>4</xdr:row>
      <xdr:rowOff>40965</xdr:rowOff>
    </xdr:from>
    <xdr:to>
      <xdr:col>17</xdr:col>
      <xdr:colOff>582524</xdr:colOff>
      <xdr:row>7</xdr:row>
      <xdr:rowOff>157865</xdr:rowOff>
    </xdr:to>
    <xdr:sp macro="" textlink="Processing!D2">
      <xdr:nvSpPr>
        <xdr:cNvPr id="79" name="TextBox 78">
          <a:extLst>
            <a:ext uri="{FF2B5EF4-FFF2-40B4-BE49-F238E27FC236}">
              <a16:creationId xmlns:a16="http://schemas.microsoft.com/office/drawing/2014/main" id="{00000000-0008-0000-0100-00004F000000}"/>
            </a:ext>
          </a:extLst>
        </xdr:cNvPr>
        <xdr:cNvSpPr txBox="1"/>
      </xdr:nvSpPr>
      <xdr:spPr>
        <a:xfrm>
          <a:off x="9794492" y="780771"/>
          <a:ext cx="1100925" cy="6717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F41FD4CE-A205-4277-A2E4-4492DD664E7A}" type="TxLink">
            <a:rPr lang="en-US" sz="3800" b="1" i="0" u="none" strike="noStrike">
              <a:solidFill>
                <a:schemeClr val="bg1"/>
              </a:solidFill>
              <a:effectLst>
                <a:outerShdw blurRad="50800" dist="38100" dir="2700000" algn="tl" rotWithShape="0">
                  <a:prstClr val="black">
                    <a:alpha val="40000"/>
                  </a:prstClr>
                </a:outerShdw>
              </a:effectLst>
              <a:latin typeface="Roboto" panose="02000000000000000000" pitchFamily="2" charset="0"/>
              <a:ea typeface="Roboto" panose="02000000000000000000" pitchFamily="2" charset="0"/>
              <a:cs typeface="Calibri"/>
            </a:rPr>
            <a:pPr marL="0" indent="0" algn="ctr"/>
            <a:t>208K</a:t>
          </a:fld>
          <a:endParaRPr lang="en-US" sz="3800" b="1" i="0" u="none" strike="noStrike">
            <a:solidFill>
              <a:schemeClr val="bg1"/>
            </a:solidFill>
            <a:effectLst>
              <a:outerShdw blurRad="50800" dist="38100" dir="2700000" algn="tl" rotWithShape="0">
                <a:prstClr val="black">
                  <a:alpha val="40000"/>
                </a:prstClr>
              </a:outerShdw>
            </a:effectLst>
            <a:latin typeface="Roboto" panose="02000000000000000000" pitchFamily="2" charset="0"/>
            <a:ea typeface="Roboto" panose="02000000000000000000" pitchFamily="2" charset="0"/>
            <a:cs typeface="Calibri"/>
          </a:endParaRPr>
        </a:p>
      </xdr:txBody>
    </xdr:sp>
    <xdr:clientData/>
  </xdr:twoCellAnchor>
  <xdr:twoCellAnchor>
    <xdr:from>
      <xdr:col>11</xdr:col>
      <xdr:colOff>289692</xdr:colOff>
      <xdr:row>2</xdr:row>
      <xdr:rowOff>27708</xdr:rowOff>
    </xdr:from>
    <xdr:to>
      <xdr:col>14</xdr:col>
      <xdr:colOff>564016</xdr:colOff>
      <xdr:row>8</xdr:row>
      <xdr:rowOff>165464</xdr:rowOff>
    </xdr:to>
    <xdr:grpSp>
      <xdr:nvGrpSpPr>
        <xdr:cNvPr id="83" name="Group 82">
          <a:extLst>
            <a:ext uri="{FF2B5EF4-FFF2-40B4-BE49-F238E27FC236}">
              <a16:creationId xmlns:a16="http://schemas.microsoft.com/office/drawing/2014/main" id="{00000000-0008-0000-0100-000053000000}"/>
            </a:ext>
          </a:extLst>
        </xdr:cNvPr>
        <xdr:cNvGrpSpPr/>
      </xdr:nvGrpSpPr>
      <xdr:grpSpPr>
        <a:xfrm>
          <a:off x="6962741" y="397611"/>
          <a:ext cx="2094246" cy="1247465"/>
          <a:chOff x="5131308" y="0"/>
          <a:chExt cx="1908048" cy="1347216"/>
        </a:xfrm>
        <a:effectLst>
          <a:outerShdw blurRad="254000" dist="127000" dir="8100000" algn="tr" rotWithShape="0">
            <a:prstClr val="black">
              <a:alpha val="90000"/>
            </a:prstClr>
          </a:outerShdw>
        </a:effectLst>
      </xdr:grpSpPr>
      <xdr:sp macro="" textlink="">
        <xdr:nvSpPr>
          <xdr:cNvPr id="88" name="Rectangle: Rounded Corners 87">
            <a:extLst>
              <a:ext uri="{FF2B5EF4-FFF2-40B4-BE49-F238E27FC236}">
                <a16:creationId xmlns:a16="http://schemas.microsoft.com/office/drawing/2014/main" id="{00000000-0008-0000-0100-000058000000}"/>
              </a:ext>
            </a:extLst>
          </xdr:cNvPr>
          <xdr:cNvSpPr/>
        </xdr:nvSpPr>
        <xdr:spPr>
          <a:xfrm>
            <a:off x="5131308" y="0"/>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9" name="Rectangle: Rounded Corners 88">
            <a:extLst>
              <a:ext uri="{FF2B5EF4-FFF2-40B4-BE49-F238E27FC236}">
                <a16:creationId xmlns:a16="http://schemas.microsoft.com/office/drawing/2014/main" id="{00000000-0008-0000-0100-000059000000}"/>
              </a:ext>
            </a:extLst>
          </xdr:cNvPr>
          <xdr:cNvSpPr/>
        </xdr:nvSpPr>
        <xdr:spPr>
          <a:xfrm>
            <a:off x="5131308" y="0"/>
            <a:ext cx="1908048" cy="1347216"/>
          </a:xfrm>
          <a:prstGeom prst="roundRect">
            <a:avLst>
              <a:gd name="adj" fmla="val 9880"/>
            </a:avLst>
          </a:prstGeom>
          <a:gradFill flip="none" rotWithShape="1">
            <a:gsLst>
              <a:gs pos="52000">
                <a:srgbClr val="1F1F98">
                  <a:alpha val="0"/>
                </a:srgbClr>
              </a:gs>
              <a:gs pos="4000">
                <a:srgbClr val="9933FF"/>
              </a:gs>
            </a:gsLst>
            <a:lin ang="2700000" scaled="1"/>
            <a:tileRect/>
          </a:gradFill>
          <a:ln w="9525">
            <a:gradFill flip="none" rotWithShape="1">
              <a:gsLst>
                <a:gs pos="14000">
                  <a:srgbClr val="E39CFF"/>
                </a:gs>
                <a:gs pos="39000">
                  <a:srgbClr val="6AF8FF"/>
                </a:gs>
                <a:gs pos="87000">
                  <a:srgbClr val="CC00FF"/>
                </a:gs>
              </a:gsLst>
              <a:lin ang="42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11</xdr:col>
      <xdr:colOff>589397</xdr:colOff>
      <xdr:row>2</xdr:row>
      <xdr:rowOff>85812</xdr:rowOff>
    </xdr:from>
    <xdr:to>
      <xdr:col>14</xdr:col>
      <xdr:colOff>268145</xdr:colOff>
      <xdr:row>4</xdr:row>
      <xdr:rowOff>24912</xdr:rowOff>
    </xdr:to>
    <xdr:sp macro="" textlink="Processing!C1">
      <xdr:nvSpPr>
        <xdr:cNvPr id="84" name="TextBox 83">
          <a:extLst>
            <a:ext uri="{FF2B5EF4-FFF2-40B4-BE49-F238E27FC236}">
              <a16:creationId xmlns:a16="http://schemas.microsoft.com/office/drawing/2014/main" id="{00000000-0008-0000-0100-000054000000}"/>
            </a:ext>
          </a:extLst>
        </xdr:cNvPr>
        <xdr:cNvSpPr txBox="1"/>
      </xdr:nvSpPr>
      <xdr:spPr>
        <a:xfrm>
          <a:off x="7262446" y="455715"/>
          <a:ext cx="1498670" cy="3090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63833644-2C79-4F7B-AB08-74149BA66CD8}" type="TxLink">
            <a:rPr lang="en-US" sz="1400" b="1" i="0" u="none" strike="noStrike">
              <a:solidFill>
                <a:schemeClr val="bg1"/>
              </a:solidFill>
              <a:effectLst>
                <a:outerShdw blurRad="50800" dist="38100" dir="2700000" algn="tl" rotWithShape="0">
                  <a:prstClr val="black">
                    <a:alpha val="40000"/>
                  </a:prstClr>
                </a:outerShdw>
              </a:effectLst>
              <a:latin typeface="Calibri"/>
              <a:ea typeface="+mn-ea"/>
              <a:cs typeface="Calibri"/>
            </a:rPr>
            <a:pPr marL="0" indent="0"/>
            <a:t>Total Impressions</a:t>
          </a:fld>
          <a:endParaRPr lang="en-US" sz="1400" b="1" i="0" u="none" strike="noStrike">
            <a:solidFill>
              <a:schemeClr val="bg1"/>
            </a:solidFill>
            <a:effectLst>
              <a:outerShdw blurRad="50800" dist="38100" dir="2700000" algn="tl" rotWithShape="0">
                <a:prstClr val="black">
                  <a:alpha val="40000"/>
                </a:prstClr>
              </a:outerShdw>
            </a:effectLst>
            <a:latin typeface="Calibri"/>
            <a:ea typeface="+mn-ea"/>
            <a:cs typeface="Calibri"/>
          </a:endParaRPr>
        </a:p>
      </xdr:txBody>
    </xdr:sp>
    <xdr:clientData/>
  </xdr:twoCellAnchor>
  <xdr:twoCellAnchor>
    <xdr:from>
      <xdr:col>11</xdr:col>
      <xdr:colOff>407951</xdr:colOff>
      <xdr:row>3</xdr:row>
      <xdr:rowOff>177226</xdr:rowOff>
    </xdr:from>
    <xdr:to>
      <xdr:col>14</xdr:col>
      <xdr:colOff>561650</xdr:colOff>
      <xdr:row>7</xdr:row>
      <xdr:rowOff>78642</xdr:rowOff>
    </xdr:to>
    <xdr:sp macro="" textlink="Processing!C2">
      <xdr:nvSpPr>
        <xdr:cNvPr id="85" name="TextBox 84">
          <a:extLst>
            <a:ext uri="{FF2B5EF4-FFF2-40B4-BE49-F238E27FC236}">
              <a16:creationId xmlns:a16="http://schemas.microsoft.com/office/drawing/2014/main" id="{00000000-0008-0000-0100-000055000000}"/>
            </a:ext>
          </a:extLst>
        </xdr:cNvPr>
        <xdr:cNvSpPr txBox="1"/>
      </xdr:nvSpPr>
      <xdr:spPr>
        <a:xfrm>
          <a:off x="7081000" y="732080"/>
          <a:ext cx="1973621" cy="641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2F5BE32F-66EC-463D-988B-E8C3BFA7C004}" type="TxLink">
            <a:rPr lang="en-US" sz="3800" b="1" i="0" u="none" strike="noStrike">
              <a:solidFill>
                <a:schemeClr val="bg1"/>
              </a:solidFill>
              <a:effectLst>
                <a:outerShdw blurRad="50800" dist="38100" dir="2700000" algn="tl" rotWithShape="0">
                  <a:prstClr val="black">
                    <a:alpha val="40000"/>
                  </a:prstClr>
                </a:outerShdw>
              </a:effectLst>
              <a:latin typeface="Roboto" panose="02000000000000000000" pitchFamily="2" charset="0"/>
              <a:ea typeface="Roboto" panose="02000000000000000000" pitchFamily="2" charset="0"/>
              <a:cs typeface="Calibri"/>
            </a:rPr>
            <a:pPr marL="0" indent="0" algn="ctr"/>
            <a:t>96.9M</a:t>
          </a:fld>
          <a:endParaRPr lang="en-US" sz="3800" b="1" i="0" u="none" strike="noStrike">
            <a:solidFill>
              <a:schemeClr val="bg1"/>
            </a:solidFill>
            <a:effectLst>
              <a:outerShdw blurRad="50800" dist="38100" dir="2700000" algn="tl" rotWithShape="0">
                <a:prstClr val="black">
                  <a:alpha val="40000"/>
                </a:prstClr>
              </a:outerShdw>
            </a:effectLst>
            <a:latin typeface="Roboto" panose="02000000000000000000" pitchFamily="2" charset="0"/>
            <a:ea typeface="Roboto" panose="02000000000000000000" pitchFamily="2" charset="0"/>
            <a:cs typeface="Calibri"/>
          </a:endParaRPr>
        </a:p>
      </xdr:txBody>
    </xdr:sp>
    <xdr:clientData/>
  </xdr:twoCellAnchor>
  <xdr:twoCellAnchor>
    <xdr:from>
      <xdr:col>18</xdr:col>
      <xdr:colOff>491589</xdr:colOff>
      <xdr:row>2</xdr:row>
      <xdr:rowOff>27708</xdr:rowOff>
    </xdr:from>
    <xdr:to>
      <xdr:col>22</xdr:col>
      <xdr:colOff>159268</xdr:colOff>
      <xdr:row>8</xdr:row>
      <xdr:rowOff>165464</xdr:rowOff>
    </xdr:to>
    <xdr:grpSp>
      <xdr:nvGrpSpPr>
        <xdr:cNvPr id="98" name="Group 97">
          <a:extLst>
            <a:ext uri="{FF2B5EF4-FFF2-40B4-BE49-F238E27FC236}">
              <a16:creationId xmlns:a16="http://schemas.microsoft.com/office/drawing/2014/main" id="{00000000-0008-0000-0100-000062000000}"/>
            </a:ext>
          </a:extLst>
        </xdr:cNvPr>
        <xdr:cNvGrpSpPr/>
      </xdr:nvGrpSpPr>
      <xdr:grpSpPr>
        <a:xfrm>
          <a:off x="11411123" y="397611"/>
          <a:ext cx="2094242" cy="1247465"/>
          <a:chOff x="5131308" y="0"/>
          <a:chExt cx="1908048" cy="1347216"/>
        </a:xfrm>
        <a:effectLst>
          <a:outerShdw blurRad="254000" dist="127000" dir="8100000" algn="tr" rotWithShape="0">
            <a:prstClr val="black">
              <a:alpha val="90000"/>
            </a:prstClr>
          </a:outerShdw>
        </a:effectLst>
      </xdr:grpSpPr>
      <xdr:sp macro="" textlink="">
        <xdr:nvSpPr>
          <xdr:cNvPr id="101" name="Rectangle: Rounded Corners 100">
            <a:extLst>
              <a:ext uri="{FF2B5EF4-FFF2-40B4-BE49-F238E27FC236}">
                <a16:creationId xmlns:a16="http://schemas.microsoft.com/office/drawing/2014/main" id="{00000000-0008-0000-0100-000065000000}"/>
              </a:ext>
            </a:extLst>
          </xdr:cNvPr>
          <xdr:cNvSpPr/>
        </xdr:nvSpPr>
        <xdr:spPr>
          <a:xfrm>
            <a:off x="5131308" y="0"/>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2" name="Rectangle: Rounded Corners 101">
            <a:extLst>
              <a:ext uri="{FF2B5EF4-FFF2-40B4-BE49-F238E27FC236}">
                <a16:creationId xmlns:a16="http://schemas.microsoft.com/office/drawing/2014/main" id="{00000000-0008-0000-0100-000066000000}"/>
              </a:ext>
            </a:extLst>
          </xdr:cNvPr>
          <xdr:cNvSpPr/>
        </xdr:nvSpPr>
        <xdr:spPr>
          <a:xfrm>
            <a:off x="5131308" y="0"/>
            <a:ext cx="1908048" cy="1347216"/>
          </a:xfrm>
          <a:prstGeom prst="roundRect">
            <a:avLst>
              <a:gd name="adj" fmla="val 9880"/>
            </a:avLst>
          </a:prstGeom>
          <a:gradFill flip="none" rotWithShape="1">
            <a:gsLst>
              <a:gs pos="52000">
                <a:srgbClr val="1F1F98">
                  <a:alpha val="0"/>
                </a:srgbClr>
              </a:gs>
              <a:gs pos="4000">
                <a:srgbClr val="9933FF"/>
              </a:gs>
            </a:gsLst>
            <a:lin ang="2700000" scaled="1"/>
            <a:tileRect/>
          </a:gradFill>
          <a:ln w="9525">
            <a:gradFill flip="none" rotWithShape="1">
              <a:gsLst>
                <a:gs pos="14000">
                  <a:srgbClr val="E39CFF"/>
                </a:gs>
                <a:gs pos="39000">
                  <a:srgbClr val="6AF8FF"/>
                </a:gs>
                <a:gs pos="87000">
                  <a:srgbClr val="CC00FF"/>
                </a:gs>
              </a:gsLst>
              <a:lin ang="42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19</xdr:col>
      <xdr:colOff>211196</xdr:colOff>
      <xdr:row>2</xdr:row>
      <xdr:rowOff>85812</xdr:rowOff>
    </xdr:from>
    <xdr:to>
      <xdr:col>22</xdr:col>
      <xdr:colOff>345381</xdr:colOff>
      <xdr:row>4</xdr:row>
      <xdr:rowOff>24912</xdr:rowOff>
    </xdr:to>
    <xdr:sp macro="" textlink="Processing!F1">
      <xdr:nvSpPr>
        <xdr:cNvPr id="99" name="TextBox 98">
          <a:extLst>
            <a:ext uri="{FF2B5EF4-FFF2-40B4-BE49-F238E27FC236}">
              <a16:creationId xmlns:a16="http://schemas.microsoft.com/office/drawing/2014/main" id="{00000000-0008-0000-0100-000063000000}"/>
            </a:ext>
          </a:extLst>
        </xdr:cNvPr>
        <xdr:cNvSpPr txBox="1"/>
      </xdr:nvSpPr>
      <xdr:spPr>
        <a:xfrm>
          <a:off x="11737371" y="455715"/>
          <a:ext cx="1954107" cy="3090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3F4BD5B4-7052-49BC-BAD7-335914435117}" type="TxLink">
            <a:rPr lang="en-US" sz="1400" b="1" i="0" u="none" strike="noStrike">
              <a:solidFill>
                <a:schemeClr val="bg1"/>
              </a:solidFill>
              <a:effectLst>
                <a:outerShdw blurRad="50800" dist="38100" dir="2700000" algn="tl" rotWithShape="0">
                  <a:prstClr val="black">
                    <a:alpha val="40000"/>
                  </a:prstClr>
                </a:outerShdw>
              </a:effectLst>
              <a:latin typeface="Calibri"/>
              <a:ea typeface="+mn-ea"/>
              <a:cs typeface="Calibri"/>
            </a:rPr>
            <a:pPr marL="0" indent="0"/>
            <a:t>Total ROI</a:t>
          </a:fld>
          <a:endParaRPr lang="en-US" sz="1400" b="1" i="0" u="none" strike="noStrike">
            <a:solidFill>
              <a:schemeClr val="bg1"/>
            </a:solidFill>
            <a:effectLst>
              <a:outerShdw blurRad="50800" dist="38100" dir="2700000" algn="tl" rotWithShape="0">
                <a:prstClr val="black">
                  <a:alpha val="40000"/>
                </a:prstClr>
              </a:outerShdw>
            </a:effectLst>
            <a:latin typeface="Calibri"/>
            <a:ea typeface="+mn-ea"/>
            <a:cs typeface="Calibri"/>
          </a:endParaRPr>
        </a:p>
      </xdr:txBody>
    </xdr:sp>
    <xdr:clientData/>
  </xdr:twoCellAnchor>
  <xdr:twoCellAnchor>
    <xdr:from>
      <xdr:col>19</xdr:col>
      <xdr:colOff>491587</xdr:colOff>
      <xdr:row>4</xdr:row>
      <xdr:rowOff>40965</xdr:rowOff>
    </xdr:from>
    <xdr:to>
      <xdr:col>21</xdr:col>
      <xdr:colOff>379231</xdr:colOff>
      <xdr:row>7</xdr:row>
      <xdr:rowOff>157865</xdr:rowOff>
    </xdr:to>
    <xdr:sp macro="" textlink="Processing!F2">
      <xdr:nvSpPr>
        <xdr:cNvPr id="100" name="TextBox 99">
          <a:extLst>
            <a:ext uri="{FF2B5EF4-FFF2-40B4-BE49-F238E27FC236}">
              <a16:creationId xmlns:a16="http://schemas.microsoft.com/office/drawing/2014/main" id="{00000000-0008-0000-0100-000064000000}"/>
            </a:ext>
          </a:extLst>
        </xdr:cNvPr>
        <xdr:cNvSpPr txBox="1"/>
      </xdr:nvSpPr>
      <xdr:spPr>
        <a:xfrm>
          <a:off x="12017762" y="780771"/>
          <a:ext cx="1100925" cy="6717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DF641E38-7B1A-40BF-BF77-7E1DF064A427}" type="TxLink">
            <a:rPr lang="en-US" sz="3800" b="1" i="0" u="none" strike="noStrike">
              <a:solidFill>
                <a:schemeClr val="bg1"/>
              </a:solidFill>
              <a:effectLst>
                <a:outerShdw blurRad="50800" dist="38100" dir="2700000" algn="tl" rotWithShape="0">
                  <a:prstClr val="black">
                    <a:alpha val="40000"/>
                  </a:prstClr>
                </a:outerShdw>
              </a:effectLst>
              <a:latin typeface="Roboto" panose="02000000000000000000" pitchFamily="2" charset="0"/>
              <a:ea typeface="Roboto" panose="02000000000000000000" pitchFamily="2" charset="0"/>
              <a:cs typeface="Calibri"/>
            </a:rPr>
            <a:pPr marL="0" indent="0" algn="ctr"/>
            <a:t>7.2%</a:t>
          </a:fld>
          <a:endParaRPr lang="en-US" sz="3800" b="1" i="0" u="none" strike="noStrike">
            <a:solidFill>
              <a:schemeClr val="bg1"/>
            </a:solidFill>
            <a:effectLst>
              <a:outerShdw blurRad="50800" dist="38100" dir="2700000" algn="tl" rotWithShape="0">
                <a:prstClr val="black">
                  <a:alpha val="40000"/>
                </a:prstClr>
              </a:outerShdw>
            </a:effectLst>
            <a:latin typeface="Roboto" panose="02000000000000000000" pitchFamily="2" charset="0"/>
            <a:ea typeface="Roboto" panose="02000000000000000000" pitchFamily="2" charset="0"/>
            <a:cs typeface="Calibri"/>
          </a:endParaRPr>
        </a:p>
      </xdr:txBody>
    </xdr:sp>
    <xdr:clientData/>
  </xdr:twoCellAnchor>
  <xdr:twoCellAnchor>
    <xdr:from>
      <xdr:col>3</xdr:col>
      <xdr:colOff>492464</xdr:colOff>
      <xdr:row>22</xdr:row>
      <xdr:rowOff>85525</xdr:rowOff>
    </xdr:from>
    <xdr:to>
      <xdr:col>12</xdr:col>
      <xdr:colOff>554855</xdr:colOff>
      <xdr:row>35</xdr:row>
      <xdr:rowOff>99237</xdr:rowOff>
    </xdr:to>
    <xdr:sp macro="" textlink="">
      <xdr:nvSpPr>
        <xdr:cNvPr id="105" name="Rectangle: Rounded Corners 104" hidden="1">
          <a:extLst>
            <a:ext uri="{FF2B5EF4-FFF2-40B4-BE49-F238E27FC236}">
              <a16:creationId xmlns:a16="http://schemas.microsoft.com/office/drawing/2014/main" id="{00000000-0008-0000-0100-000069000000}"/>
            </a:ext>
          </a:extLst>
        </xdr:cNvPr>
        <xdr:cNvSpPr/>
      </xdr:nvSpPr>
      <xdr:spPr>
        <a:xfrm>
          <a:off x="2312386" y="4154457"/>
          <a:ext cx="5522158" cy="2418081"/>
        </a:xfrm>
        <a:prstGeom prst="roundRect">
          <a:avLst>
            <a:gd name="adj" fmla="val 11093"/>
          </a:avLst>
        </a:prstGeom>
        <a:gradFill flip="none" rotWithShape="1">
          <a:gsLst>
            <a:gs pos="0">
              <a:srgbClr val="1B2A87">
                <a:alpha val="0"/>
              </a:srgbClr>
            </a:gs>
            <a:gs pos="44000">
              <a:srgbClr val="0A002F">
                <a:alpha val="0"/>
              </a:srgbClr>
            </a:gs>
            <a:gs pos="100000">
              <a:srgbClr val="18013D">
                <a:alpha val="0"/>
              </a:srgbClr>
            </a:gs>
          </a:gsLst>
          <a:lin ang="5400000" scaled="1"/>
          <a:tileRect/>
        </a:gradFill>
        <a:ln w="9525">
          <a:gradFill>
            <a:gsLst>
              <a:gs pos="24000">
                <a:schemeClr val="accent5">
                  <a:lumMod val="75000"/>
                </a:schemeClr>
              </a:gs>
              <a:gs pos="0">
                <a:srgbClr val="2C48D4"/>
              </a:gs>
              <a:gs pos="100000">
                <a:srgbClr val="7030A0"/>
              </a:gs>
              <a:gs pos="49000">
                <a:schemeClr val="accent1">
                  <a:lumMod val="30000"/>
                  <a:lumOff val="70000"/>
                </a:schemeClr>
              </a:gs>
            </a:gsLst>
            <a:lin ang="6000000" scaled="0"/>
          </a:gradFill>
        </a:ln>
        <a:effectLst>
          <a:outerShdw blurRad="889000" dist="254000" dir="18900000" algn="bl" rotWithShape="0">
            <a:srgbClr val="1D3090">
              <a:alpha val="5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105895</xdr:colOff>
      <xdr:row>2</xdr:row>
      <xdr:rowOff>111818</xdr:rowOff>
    </xdr:from>
    <xdr:to>
      <xdr:col>4</xdr:col>
      <xdr:colOff>229290</xdr:colOff>
      <xdr:row>3</xdr:row>
      <xdr:rowOff>147961</xdr:rowOff>
    </xdr:to>
    <xdr:sp macro="" textlink="">
      <xdr:nvSpPr>
        <xdr:cNvPr id="19" name="Graphic 338">
          <a:extLst>
            <a:ext uri="{FF2B5EF4-FFF2-40B4-BE49-F238E27FC236}">
              <a16:creationId xmlns:a16="http://schemas.microsoft.com/office/drawing/2014/main" id="{00000000-0008-0000-0100-000013000000}"/>
            </a:ext>
          </a:extLst>
        </xdr:cNvPr>
        <xdr:cNvSpPr/>
      </xdr:nvSpPr>
      <xdr:spPr>
        <a:xfrm>
          <a:off x="2532458" y="481721"/>
          <a:ext cx="123395" cy="221094"/>
        </a:xfrm>
        <a:custGeom>
          <a:avLst/>
          <a:gdLst>
            <a:gd name="connsiteX0" fmla="*/ 185691 w 304940"/>
            <a:gd name="connsiteY0" fmla="*/ 533198 h 533197"/>
            <a:gd name="connsiteX1" fmla="*/ 135390 w 304940"/>
            <a:gd name="connsiteY1" fmla="*/ 533198 h 533197"/>
            <a:gd name="connsiteX2" fmla="*/ 135390 w 304940"/>
            <a:gd name="connsiteY2" fmla="*/ 480554 h 533197"/>
            <a:gd name="connsiteX3" fmla="*/ 0 w 304940"/>
            <a:gd name="connsiteY3" fmla="*/ 422602 h 533197"/>
            <a:gd name="connsiteX4" fmla="*/ 54690 w 304940"/>
            <a:gd name="connsiteY4" fmla="*/ 354180 h 533197"/>
            <a:gd name="connsiteX5" fmla="*/ 134916 w 304940"/>
            <a:gd name="connsiteY5" fmla="*/ 398786 h 533197"/>
            <a:gd name="connsiteX6" fmla="*/ 135212 w 304940"/>
            <a:gd name="connsiteY6" fmla="*/ 393477 h 533197"/>
            <a:gd name="connsiteX7" fmla="*/ 135301 w 304940"/>
            <a:gd name="connsiteY7" fmla="*/ 299371 h 533197"/>
            <a:gd name="connsiteX8" fmla="*/ 130467 w 304940"/>
            <a:gd name="connsiteY8" fmla="*/ 292817 h 533197"/>
            <a:gd name="connsiteX9" fmla="*/ 66820 w 304940"/>
            <a:gd name="connsiteY9" fmla="*/ 261853 h 533197"/>
            <a:gd name="connsiteX10" fmla="*/ 19189 w 304940"/>
            <a:gd name="connsiteY10" fmla="*/ 160600 h 533197"/>
            <a:gd name="connsiteX11" fmla="*/ 53741 w 304940"/>
            <a:gd name="connsiteY11" fmla="*/ 72366 h 533197"/>
            <a:gd name="connsiteX12" fmla="*/ 117536 w 304940"/>
            <a:gd name="connsiteY12" fmla="*/ 43538 h 533197"/>
            <a:gd name="connsiteX13" fmla="*/ 135687 w 304940"/>
            <a:gd name="connsiteY13" fmla="*/ 41433 h 533197"/>
            <a:gd name="connsiteX14" fmla="*/ 135687 w 304940"/>
            <a:gd name="connsiteY14" fmla="*/ 0 h 533197"/>
            <a:gd name="connsiteX15" fmla="*/ 187263 w 304940"/>
            <a:gd name="connsiteY15" fmla="*/ 0 h 533197"/>
            <a:gd name="connsiteX16" fmla="*/ 187263 w 304940"/>
            <a:gd name="connsiteY16" fmla="*/ 42174 h 533197"/>
            <a:gd name="connsiteX17" fmla="*/ 260133 w 304940"/>
            <a:gd name="connsiteY17" fmla="*/ 64507 h 533197"/>
            <a:gd name="connsiteX18" fmla="*/ 296435 w 304940"/>
            <a:gd name="connsiteY18" fmla="*/ 88886 h 533197"/>
            <a:gd name="connsiteX19" fmla="*/ 238868 w 304940"/>
            <a:gd name="connsiteY19" fmla="*/ 160659 h 533197"/>
            <a:gd name="connsiteX20" fmla="*/ 186551 w 304940"/>
            <a:gd name="connsiteY20" fmla="*/ 128183 h 533197"/>
            <a:gd name="connsiteX21" fmla="*/ 186254 w 304940"/>
            <a:gd name="connsiteY21" fmla="*/ 134263 h 533197"/>
            <a:gd name="connsiteX22" fmla="*/ 186136 w 304940"/>
            <a:gd name="connsiteY22" fmla="*/ 212502 h 533197"/>
            <a:gd name="connsiteX23" fmla="*/ 191385 w 304940"/>
            <a:gd name="connsiteY23" fmla="*/ 220006 h 533197"/>
            <a:gd name="connsiteX24" fmla="*/ 266777 w 304940"/>
            <a:gd name="connsiteY24" fmla="*/ 261082 h 533197"/>
            <a:gd name="connsiteX25" fmla="*/ 304384 w 304940"/>
            <a:gd name="connsiteY25" fmla="*/ 339796 h 533197"/>
            <a:gd name="connsiteX26" fmla="*/ 290237 w 304940"/>
            <a:gd name="connsiteY26" fmla="*/ 413141 h 533197"/>
            <a:gd name="connsiteX27" fmla="*/ 217099 w 304940"/>
            <a:gd name="connsiteY27" fmla="*/ 471063 h 533197"/>
            <a:gd name="connsiteX28" fmla="*/ 191979 w 304940"/>
            <a:gd name="connsiteY28" fmla="*/ 477677 h 533197"/>
            <a:gd name="connsiteX29" fmla="*/ 185543 w 304940"/>
            <a:gd name="connsiteY29" fmla="*/ 485892 h 533197"/>
            <a:gd name="connsiteX30" fmla="*/ 185661 w 304940"/>
            <a:gd name="connsiteY30" fmla="*/ 526702 h 533197"/>
            <a:gd name="connsiteX31" fmla="*/ 185691 w 304940"/>
            <a:gd name="connsiteY31" fmla="*/ 533198 h 533197"/>
            <a:gd name="connsiteX32" fmla="*/ 186521 w 304940"/>
            <a:gd name="connsiteY32" fmla="*/ 393032 h 533197"/>
            <a:gd name="connsiteX33" fmla="*/ 218790 w 304940"/>
            <a:gd name="connsiteY33" fmla="*/ 353379 h 533197"/>
            <a:gd name="connsiteX34" fmla="*/ 186521 w 304940"/>
            <a:gd name="connsiteY34" fmla="*/ 313340 h 533197"/>
            <a:gd name="connsiteX35" fmla="*/ 186521 w 304940"/>
            <a:gd name="connsiteY35" fmla="*/ 393032 h 533197"/>
            <a:gd name="connsiteX36" fmla="*/ 134946 w 304940"/>
            <a:gd name="connsiteY36" fmla="*/ 201736 h 533197"/>
            <a:gd name="connsiteX37" fmla="*/ 134946 w 304940"/>
            <a:gd name="connsiteY37" fmla="*/ 126582 h 533197"/>
            <a:gd name="connsiteX38" fmla="*/ 105940 w 304940"/>
            <a:gd name="connsiteY38" fmla="*/ 161104 h 533197"/>
            <a:gd name="connsiteX39" fmla="*/ 134946 w 304940"/>
            <a:gd name="connsiteY39" fmla="*/ 201736 h 53319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Lst>
          <a:rect l="l" t="t" r="r" b="b"/>
          <a:pathLst>
            <a:path w="304940" h="533197">
              <a:moveTo>
                <a:pt x="185691" y="533198"/>
              </a:moveTo>
              <a:cubicBezTo>
                <a:pt x="168430" y="533198"/>
                <a:pt x="152207" y="533198"/>
                <a:pt x="135390" y="533198"/>
              </a:cubicBezTo>
              <a:cubicBezTo>
                <a:pt x="135390" y="515521"/>
                <a:pt x="135390" y="498052"/>
                <a:pt x="135390" y="480554"/>
              </a:cubicBezTo>
              <a:cubicBezTo>
                <a:pt x="82865" y="477707"/>
                <a:pt x="37251" y="460446"/>
                <a:pt x="0" y="422602"/>
              </a:cubicBezTo>
              <a:cubicBezTo>
                <a:pt x="18507" y="399438"/>
                <a:pt x="36391" y="377076"/>
                <a:pt x="54690" y="354180"/>
              </a:cubicBezTo>
              <a:cubicBezTo>
                <a:pt x="77082" y="376868"/>
                <a:pt x="103063" y="392647"/>
                <a:pt x="134916" y="398786"/>
              </a:cubicBezTo>
              <a:cubicBezTo>
                <a:pt x="135034" y="396740"/>
                <a:pt x="135212" y="395108"/>
                <a:pt x="135212" y="393477"/>
              </a:cubicBezTo>
              <a:cubicBezTo>
                <a:pt x="135242" y="362099"/>
                <a:pt x="135153" y="330720"/>
                <a:pt x="135301" y="299371"/>
              </a:cubicBezTo>
              <a:cubicBezTo>
                <a:pt x="135331" y="295605"/>
                <a:pt x="134471" y="293944"/>
                <a:pt x="130467" y="292817"/>
              </a:cubicBezTo>
              <a:cubicBezTo>
                <a:pt x="107393" y="286411"/>
                <a:pt x="85505" y="277305"/>
                <a:pt x="66820" y="261853"/>
              </a:cubicBezTo>
              <a:cubicBezTo>
                <a:pt x="35056" y="235606"/>
                <a:pt x="18863" y="202003"/>
                <a:pt x="19189" y="160600"/>
              </a:cubicBezTo>
              <a:cubicBezTo>
                <a:pt x="19456" y="126730"/>
                <a:pt x="29510" y="96657"/>
                <a:pt x="53741" y="72366"/>
              </a:cubicBezTo>
              <a:cubicBezTo>
                <a:pt x="71239" y="54809"/>
                <a:pt x="93483" y="46949"/>
                <a:pt x="117536" y="43538"/>
              </a:cubicBezTo>
              <a:cubicBezTo>
                <a:pt x="123319" y="42738"/>
                <a:pt x="129103" y="42174"/>
                <a:pt x="135687" y="41433"/>
              </a:cubicBezTo>
              <a:cubicBezTo>
                <a:pt x="135687" y="27701"/>
                <a:pt x="135687" y="14028"/>
                <a:pt x="135687" y="0"/>
              </a:cubicBezTo>
              <a:cubicBezTo>
                <a:pt x="153215" y="0"/>
                <a:pt x="169913" y="0"/>
                <a:pt x="187263" y="0"/>
              </a:cubicBezTo>
              <a:cubicBezTo>
                <a:pt x="187263" y="14028"/>
                <a:pt x="187263" y="27908"/>
                <a:pt x="187263" y="42174"/>
              </a:cubicBezTo>
              <a:cubicBezTo>
                <a:pt x="213303" y="45140"/>
                <a:pt x="237890" y="51428"/>
                <a:pt x="260133" y="64507"/>
              </a:cubicBezTo>
              <a:cubicBezTo>
                <a:pt x="272442" y="71744"/>
                <a:pt x="283890" y="80374"/>
                <a:pt x="296435" y="88886"/>
              </a:cubicBezTo>
              <a:cubicBezTo>
                <a:pt x="276683" y="113502"/>
                <a:pt x="257879" y="136962"/>
                <a:pt x="238868" y="160659"/>
              </a:cubicBezTo>
              <a:cubicBezTo>
                <a:pt x="222586" y="147876"/>
                <a:pt x="206808" y="135005"/>
                <a:pt x="186551" y="128183"/>
              </a:cubicBezTo>
              <a:cubicBezTo>
                <a:pt x="186432" y="130645"/>
                <a:pt x="186284" y="132454"/>
                <a:pt x="186254" y="134263"/>
              </a:cubicBezTo>
              <a:cubicBezTo>
                <a:pt x="186225" y="160333"/>
                <a:pt x="186314" y="186432"/>
                <a:pt x="186136" y="212502"/>
              </a:cubicBezTo>
              <a:cubicBezTo>
                <a:pt x="186106" y="216654"/>
                <a:pt x="186996" y="218612"/>
                <a:pt x="191385" y="220006"/>
              </a:cubicBezTo>
              <a:cubicBezTo>
                <a:pt x="219086" y="228873"/>
                <a:pt x="245186" y="240944"/>
                <a:pt x="266777" y="261082"/>
              </a:cubicBezTo>
              <a:cubicBezTo>
                <a:pt x="289614" y="282377"/>
                <a:pt x="301833" y="308684"/>
                <a:pt x="304384" y="339796"/>
              </a:cubicBezTo>
              <a:cubicBezTo>
                <a:pt x="306519" y="365658"/>
                <a:pt x="302663" y="390244"/>
                <a:pt x="290237" y="413141"/>
              </a:cubicBezTo>
              <a:cubicBezTo>
                <a:pt x="274132" y="442769"/>
                <a:pt x="248389" y="460564"/>
                <a:pt x="217099" y="471063"/>
              </a:cubicBezTo>
              <a:cubicBezTo>
                <a:pt x="208913" y="473822"/>
                <a:pt x="200461" y="476076"/>
                <a:pt x="191979" y="477677"/>
              </a:cubicBezTo>
              <a:cubicBezTo>
                <a:pt x="186699" y="478656"/>
                <a:pt x="185424" y="480880"/>
                <a:pt x="185543" y="485892"/>
              </a:cubicBezTo>
              <a:cubicBezTo>
                <a:pt x="185869" y="499506"/>
                <a:pt x="185661" y="513089"/>
                <a:pt x="185661" y="526702"/>
              </a:cubicBezTo>
              <a:cubicBezTo>
                <a:pt x="185691" y="528719"/>
                <a:pt x="185691" y="530766"/>
                <a:pt x="185691" y="533198"/>
              </a:cubicBezTo>
              <a:close/>
              <a:moveTo>
                <a:pt x="186521" y="393032"/>
              </a:moveTo>
              <a:cubicBezTo>
                <a:pt x="205948" y="390363"/>
                <a:pt x="218908" y="374199"/>
                <a:pt x="218790" y="353379"/>
              </a:cubicBezTo>
              <a:cubicBezTo>
                <a:pt x="218671" y="333271"/>
                <a:pt x="205859" y="317967"/>
                <a:pt x="186521" y="313340"/>
              </a:cubicBezTo>
              <a:cubicBezTo>
                <a:pt x="186521" y="339885"/>
                <a:pt x="186521" y="366429"/>
                <a:pt x="186521" y="393032"/>
              </a:cubicBezTo>
              <a:close/>
              <a:moveTo>
                <a:pt x="134946" y="201736"/>
              </a:moveTo>
              <a:cubicBezTo>
                <a:pt x="134946" y="176675"/>
                <a:pt x="134946" y="151643"/>
                <a:pt x="134946" y="126582"/>
              </a:cubicBezTo>
              <a:cubicBezTo>
                <a:pt x="119493" y="128539"/>
                <a:pt x="106918" y="143635"/>
                <a:pt x="105940" y="161104"/>
              </a:cubicBezTo>
              <a:cubicBezTo>
                <a:pt x="104842" y="180501"/>
                <a:pt x="117032" y="197643"/>
                <a:pt x="134946" y="201736"/>
              </a:cubicBezTo>
              <a:close/>
            </a:path>
          </a:pathLst>
        </a:custGeom>
        <a:solidFill>
          <a:schemeClr val="bg1"/>
        </a:solidFill>
        <a:ln w="9525" cap="flat">
          <a:noFill/>
          <a:prstDash val="solid"/>
          <a:miter/>
        </a:ln>
        <a:effectLst>
          <a:outerShdw blurRad="50800" dist="38100" dir="2700000" algn="tl" rotWithShape="0">
            <a:prstClr val="black">
              <a:alpha val="3000"/>
            </a:prstClr>
          </a:outerShdw>
        </a:effectLst>
      </xdr:spPr>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100"/>
        </a:p>
      </xdr:txBody>
    </xdr:sp>
    <xdr:clientData/>
  </xdr:twoCellAnchor>
  <xdr:twoCellAnchor editAs="oneCell">
    <xdr:from>
      <xdr:col>11</xdr:col>
      <xdr:colOff>357782</xdr:colOff>
      <xdr:row>2</xdr:row>
      <xdr:rowOff>158800</xdr:rowOff>
    </xdr:from>
    <xdr:to>
      <xdr:col>12</xdr:col>
      <xdr:colOff>2323</xdr:colOff>
      <xdr:row>3</xdr:row>
      <xdr:rowOff>136875</xdr:rowOff>
    </xdr:to>
    <xdr:pic>
      <xdr:nvPicPr>
        <xdr:cNvPr id="106" name="Graphic 105">
          <a:extLst>
            <a:ext uri="{FF2B5EF4-FFF2-40B4-BE49-F238E27FC236}">
              <a16:creationId xmlns:a16="http://schemas.microsoft.com/office/drawing/2014/main" id="{00000000-0008-0000-0100-00006A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030831" y="528703"/>
          <a:ext cx="251181" cy="163026"/>
        </a:xfrm>
        <a:prstGeom prst="rect">
          <a:avLst/>
        </a:prstGeom>
        <a:effectLst>
          <a:outerShdw blurRad="50800" dist="38100" dir="2700000" algn="tl" rotWithShape="0">
            <a:prstClr val="black">
              <a:alpha val="40000"/>
            </a:prstClr>
          </a:outerShdw>
        </a:effectLst>
      </xdr:spPr>
    </xdr:pic>
    <xdr:clientData/>
  </xdr:twoCellAnchor>
  <xdr:twoCellAnchor>
    <xdr:from>
      <xdr:col>0</xdr:col>
      <xdr:colOff>522294</xdr:colOff>
      <xdr:row>18</xdr:row>
      <xdr:rowOff>129564</xdr:rowOff>
    </xdr:from>
    <xdr:to>
      <xdr:col>1</xdr:col>
      <xdr:colOff>105394</xdr:colOff>
      <xdr:row>19</xdr:row>
      <xdr:rowOff>156044</xdr:rowOff>
    </xdr:to>
    <xdr:pic>
      <xdr:nvPicPr>
        <xdr:cNvPr id="108" name="Graphic 80">
          <a:extLst>
            <a:ext uri="{FF2B5EF4-FFF2-40B4-BE49-F238E27FC236}">
              <a16:creationId xmlns:a16="http://schemas.microsoft.com/office/drawing/2014/main" id="{00000000-0008-0000-0100-00006C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22294" y="3458690"/>
          <a:ext cx="189741" cy="211432"/>
        </a:xfrm>
        <a:prstGeom prst="rect">
          <a:avLst/>
        </a:prstGeom>
      </xdr:spPr>
    </xdr:pic>
    <xdr:clientData/>
  </xdr:twoCellAnchor>
  <xdr:twoCellAnchor editAs="oneCell">
    <xdr:from>
      <xdr:col>7</xdr:col>
      <xdr:colOff>523535</xdr:colOff>
      <xdr:row>2</xdr:row>
      <xdr:rowOff>103315</xdr:rowOff>
    </xdr:from>
    <xdr:to>
      <xdr:col>8</xdr:col>
      <xdr:colOff>190891</xdr:colOff>
      <xdr:row>4</xdr:row>
      <xdr:rowOff>7409</xdr:rowOff>
    </xdr:to>
    <xdr:pic>
      <xdr:nvPicPr>
        <xdr:cNvPr id="114" name="Graphic 39">
          <a:extLst>
            <a:ext uri="{FF2B5EF4-FFF2-40B4-BE49-F238E27FC236}">
              <a16:creationId xmlns:a16="http://schemas.microsoft.com/office/drawing/2014/main" id="{00000000-0008-0000-0100-000072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770020" y="473218"/>
          <a:ext cx="273997" cy="273997"/>
        </a:xfrm>
        <a:prstGeom prst="rect">
          <a:avLst/>
        </a:prstGeom>
        <a:effectLst>
          <a:outerShdw blurRad="50800" dist="38100" dir="2700000" algn="tl" rotWithShape="0">
            <a:prstClr val="black">
              <a:alpha val="3000"/>
            </a:prstClr>
          </a:outerShdw>
        </a:effectLst>
      </xdr:spPr>
    </xdr:pic>
    <xdr:clientData/>
  </xdr:twoCellAnchor>
  <xdr:twoCellAnchor editAs="oneCell">
    <xdr:from>
      <xdr:col>15</xdr:col>
      <xdr:colOff>175827</xdr:colOff>
      <xdr:row>2</xdr:row>
      <xdr:rowOff>121297</xdr:rowOff>
    </xdr:from>
    <xdr:to>
      <xdr:col>15</xdr:col>
      <xdr:colOff>399495</xdr:colOff>
      <xdr:row>3</xdr:row>
      <xdr:rowOff>174378</xdr:rowOff>
    </xdr:to>
    <xdr:pic>
      <xdr:nvPicPr>
        <xdr:cNvPr id="115" name="Graphic 41">
          <a:extLst>
            <a:ext uri="{FF2B5EF4-FFF2-40B4-BE49-F238E27FC236}">
              <a16:creationId xmlns:a16="http://schemas.microsoft.com/office/drawing/2014/main" id="{00000000-0008-0000-0100-000073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275439" y="491200"/>
          <a:ext cx="223668" cy="238032"/>
        </a:xfrm>
        <a:prstGeom prst="rect">
          <a:avLst/>
        </a:prstGeom>
        <a:effectLst>
          <a:outerShdw blurRad="50800" dist="38100" dir="2700000" algn="tl" rotWithShape="0">
            <a:prstClr val="black">
              <a:alpha val="40000"/>
            </a:prstClr>
          </a:outerShdw>
        </a:effectLst>
      </xdr:spPr>
    </xdr:pic>
    <xdr:clientData/>
  </xdr:twoCellAnchor>
  <xdr:twoCellAnchor editAs="oneCell">
    <xdr:from>
      <xdr:col>18</xdr:col>
      <xdr:colOff>593041</xdr:colOff>
      <xdr:row>2</xdr:row>
      <xdr:rowOff>115145</xdr:rowOff>
    </xdr:from>
    <xdr:to>
      <xdr:col>19</xdr:col>
      <xdr:colOff>236737</xdr:colOff>
      <xdr:row>3</xdr:row>
      <xdr:rowOff>180531</xdr:rowOff>
    </xdr:to>
    <xdr:pic>
      <xdr:nvPicPr>
        <xdr:cNvPr id="116" name="Picture 115">
          <a:extLst>
            <a:ext uri="{FF2B5EF4-FFF2-40B4-BE49-F238E27FC236}">
              <a16:creationId xmlns:a16="http://schemas.microsoft.com/office/drawing/2014/main" id="{00000000-0008-0000-0100-000074000000}"/>
            </a:ext>
          </a:extLst>
        </xdr:cNvPr>
        <xdr:cNvPicPr>
          <a:picLocks noChangeAspect="1"/>
        </xdr:cNvPicPr>
      </xdr:nvPicPr>
      <xdr:blipFill>
        <a:blip xmlns:r="http://schemas.openxmlformats.org/officeDocument/2006/relationships" r:embed="rId15" cstate="print">
          <a:lum bright="70000" contrast="-70000"/>
          <a:extLst>
            <a:ext uri="{BEBA8EAE-BF5A-486C-A8C5-ECC9F3942E4B}">
              <a14:imgProps xmlns:a14="http://schemas.microsoft.com/office/drawing/2010/main">
                <a14:imgLayer r:embed="rId16">
                  <a14:imgEffect>
                    <a14:artisticPhotocopy/>
                  </a14:imgEffect>
                </a14:imgLayer>
              </a14:imgProps>
            </a:ext>
            <a:ext uri="{28A0092B-C50C-407E-A947-70E740481C1C}">
              <a14:useLocalDpi xmlns:a14="http://schemas.microsoft.com/office/drawing/2010/main" val="0"/>
            </a:ext>
          </a:extLst>
        </a:blip>
        <a:stretch>
          <a:fillRect/>
        </a:stretch>
      </xdr:blipFill>
      <xdr:spPr>
        <a:xfrm>
          <a:off x="11512575" y="485048"/>
          <a:ext cx="250337" cy="250337"/>
        </a:xfrm>
        <a:prstGeom prst="rect">
          <a:avLst/>
        </a:prstGeom>
      </xdr:spPr>
    </xdr:pic>
    <xdr:clientData/>
  </xdr:twoCellAnchor>
  <xdr:twoCellAnchor>
    <xdr:from>
      <xdr:col>0</xdr:col>
      <xdr:colOff>369904</xdr:colOff>
      <xdr:row>7</xdr:row>
      <xdr:rowOff>147961</xdr:rowOff>
    </xdr:from>
    <xdr:to>
      <xdr:col>3</xdr:col>
      <xdr:colOff>273729</xdr:colOff>
      <xdr:row>9</xdr:row>
      <xdr:rowOff>118369</xdr:rowOff>
    </xdr:to>
    <xdr:sp macro="" textlink="">
      <xdr:nvSpPr>
        <xdr:cNvPr id="118" name="TextBox 117">
          <a:extLst>
            <a:ext uri="{FF2B5EF4-FFF2-40B4-BE49-F238E27FC236}">
              <a16:creationId xmlns:a16="http://schemas.microsoft.com/office/drawing/2014/main" id="{00000000-0008-0000-0100-000076000000}"/>
            </a:ext>
          </a:extLst>
        </xdr:cNvPr>
        <xdr:cNvSpPr txBox="1"/>
      </xdr:nvSpPr>
      <xdr:spPr>
        <a:xfrm>
          <a:off x="369904" y="1442621"/>
          <a:ext cx="1723747" cy="340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Marketing Analytics</a:t>
          </a:r>
        </a:p>
      </xdr:txBody>
    </xdr:sp>
    <xdr:clientData/>
  </xdr:twoCellAnchor>
  <xdr:twoCellAnchor>
    <xdr:from>
      <xdr:col>12</xdr:col>
      <xdr:colOff>599244</xdr:colOff>
      <xdr:row>22</xdr:row>
      <xdr:rowOff>103909</xdr:rowOff>
    </xdr:from>
    <xdr:to>
      <xdr:col>17</xdr:col>
      <xdr:colOff>362506</xdr:colOff>
      <xdr:row>35</xdr:row>
      <xdr:rowOff>99237</xdr:rowOff>
    </xdr:to>
    <xdr:sp macro="" textlink="">
      <xdr:nvSpPr>
        <xdr:cNvPr id="120" name="Rectangle: Rounded Corners 119">
          <a:extLst>
            <a:ext uri="{FF2B5EF4-FFF2-40B4-BE49-F238E27FC236}">
              <a16:creationId xmlns:a16="http://schemas.microsoft.com/office/drawing/2014/main" id="{00000000-0008-0000-0100-000078000000}"/>
            </a:ext>
          </a:extLst>
        </xdr:cNvPr>
        <xdr:cNvSpPr/>
      </xdr:nvSpPr>
      <xdr:spPr>
        <a:xfrm>
          <a:off x="7878933" y="4172841"/>
          <a:ext cx="2796466" cy="2399697"/>
        </a:xfrm>
        <a:prstGeom prst="roundRect">
          <a:avLst>
            <a:gd name="adj" fmla="val 9192"/>
          </a:avLst>
        </a:prstGeom>
        <a:gradFill flip="none" rotWithShape="1">
          <a:gsLst>
            <a:gs pos="0">
              <a:srgbClr val="171952"/>
            </a:gs>
            <a:gs pos="64000">
              <a:srgbClr val="050B29"/>
            </a:gs>
          </a:gsLst>
          <a:path path="circle">
            <a:fillToRect l="100000" b="100000"/>
          </a:path>
          <a:tileRect t="-100000" r="-100000"/>
        </a:gradFill>
        <a:ln w="9525">
          <a:solidFill>
            <a:srgbClr val="062542"/>
          </a:solidFill>
        </a:ln>
        <a:effectLst>
          <a:outerShdw blurRad="190500" dist="127000" dir="8100000" algn="tr" rotWithShape="0">
            <a:prstClr val="black">
              <a:alpha val="9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tx2">
                <a:lumMod val="50000"/>
                <a:lumOff val="50000"/>
              </a:schemeClr>
            </a:solidFill>
            <a:latin typeface="+mn-lt"/>
            <a:ea typeface="+mn-ea"/>
            <a:cs typeface="+mn-cs"/>
          </a:endParaRPr>
        </a:p>
      </xdr:txBody>
    </xdr:sp>
    <xdr:clientData/>
  </xdr:twoCellAnchor>
  <xdr:twoCellAnchor>
    <xdr:from>
      <xdr:col>6</xdr:col>
      <xdr:colOff>170155</xdr:colOff>
      <xdr:row>7</xdr:row>
      <xdr:rowOff>51787</xdr:rowOff>
    </xdr:from>
    <xdr:to>
      <xdr:col>7</xdr:col>
      <xdr:colOff>244136</xdr:colOff>
      <xdr:row>8</xdr:row>
      <xdr:rowOff>103572</xdr:rowOff>
    </xdr:to>
    <xdr:sp macro="" textlink="">
      <xdr:nvSpPr>
        <xdr:cNvPr id="125" name="Rectangle: Rounded Corners 124">
          <a:extLst>
            <a:ext uri="{FF2B5EF4-FFF2-40B4-BE49-F238E27FC236}">
              <a16:creationId xmlns:a16="http://schemas.microsoft.com/office/drawing/2014/main" id="{00000000-0008-0000-0100-00007D000000}"/>
            </a:ext>
          </a:extLst>
        </xdr:cNvPr>
        <xdr:cNvSpPr/>
      </xdr:nvSpPr>
      <xdr:spPr>
        <a:xfrm>
          <a:off x="3810000" y="1346447"/>
          <a:ext cx="680621" cy="236737"/>
        </a:xfrm>
        <a:prstGeom prst="roundRect">
          <a:avLst/>
        </a:prstGeom>
        <a:solidFill>
          <a:schemeClr val="bg1">
            <a:alpha val="14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129273</xdr:colOff>
      <xdr:row>7</xdr:row>
      <xdr:rowOff>3321</xdr:rowOff>
    </xdr:from>
    <xdr:to>
      <xdr:col>7</xdr:col>
      <xdr:colOff>284729</xdr:colOff>
      <xdr:row>8</xdr:row>
      <xdr:rowOff>158412</xdr:rowOff>
    </xdr:to>
    <xdr:sp macro="" textlink="Processing!A5">
      <xdr:nvSpPr>
        <xdr:cNvPr id="123" name="TextBox 122">
          <a:extLst>
            <a:ext uri="{FF2B5EF4-FFF2-40B4-BE49-F238E27FC236}">
              <a16:creationId xmlns:a16="http://schemas.microsoft.com/office/drawing/2014/main" id="{00000000-0008-0000-0100-00007B000000}"/>
            </a:ext>
          </a:extLst>
        </xdr:cNvPr>
        <xdr:cNvSpPr txBox="1"/>
      </xdr:nvSpPr>
      <xdr:spPr>
        <a:xfrm>
          <a:off x="3769118" y="1297981"/>
          <a:ext cx="762096" cy="3400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fld id="{59CA94E2-CEB2-4008-B0BC-FFC3E8A56126}" type="TxLink">
            <a:rPr lang="en-US" sz="1100" b="1" i="0" u="none" strike="noStrike">
              <a:solidFill>
                <a:srgbClr val="66FF99"/>
              </a:solidFill>
              <a:effectLst/>
              <a:latin typeface="Calibri"/>
              <a:ea typeface="Roboto" panose="02000000000000000000" pitchFamily="2" charset="0"/>
              <a:cs typeface="Calibri"/>
            </a:rPr>
            <a:pPr algn="l"/>
            <a:t>▲ 49.38%</a:t>
          </a:fld>
          <a:endParaRPr lang="en-US" sz="4400" b="1">
            <a:solidFill>
              <a:srgbClr val="66FF99"/>
            </a:solidFill>
            <a:effectLst/>
            <a:latin typeface="Roboto" panose="02000000000000000000" pitchFamily="2" charset="0"/>
            <a:ea typeface="Roboto" panose="02000000000000000000" pitchFamily="2" charset="0"/>
          </a:endParaRPr>
        </a:p>
      </xdr:txBody>
    </xdr:sp>
    <xdr:clientData/>
  </xdr:twoCellAnchor>
  <xdr:twoCellAnchor>
    <xdr:from>
      <xdr:col>4</xdr:col>
      <xdr:colOff>25288</xdr:colOff>
      <xdr:row>7</xdr:row>
      <xdr:rowOff>26239</xdr:rowOff>
    </xdr:from>
    <xdr:to>
      <xdr:col>6</xdr:col>
      <xdr:colOff>137711</xdr:colOff>
      <xdr:row>8</xdr:row>
      <xdr:rowOff>150290</xdr:rowOff>
    </xdr:to>
    <xdr:sp macro="" textlink="Processing!A3">
      <xdr:nvSpPr>
        <xdr:cNvPr id="124" name="TextBox 123">
          <a:extLst>
            <a:ext uri="{FF2B5EF4-FFF2-40B4-BE49-F238E27FC236}">
              <a16:creationId xmlns:a16="http://schemas.microsoft.com/office/drawing/2014/main" id="{00000000-0008-0000-0100-00007C000000}"/>
            </a:ext>
          </a:extLst>
        </xdr:cNvPr>
        <xdr:cNvSpPr txBox="1"/>
      </xdr:nvSpPr>
      <xdr:spPr>
        <a:xfrm>
          <a:off x="2451851" y="1320899"/>
          <a:ext cx="1325705" cy="3090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l"/>
          <a:fld id="{56E8B2FF-5F4C-4BE9-B450-3BA060DAAAE3}" type="TxLink">
            <a:rPr lang="en-US" sz="1000" b="0" i="0" u="none" strike="noStrike">
              <a:solidFill>
                <a:schemeClr val="bg2"/>
              </a:solidFill>
              <a:effectLst>
                <a:outerShdw blurRad="50800" dist="38100" dir="2700000" algn="tl" rotWithShape="0">
                  <a:prstClr val="black">
                    <a:alpha val="40000"/>
                  </a:prstClr>
                </a:outerShdw>
              </a:effectLst>
              <a:latin typeface="Calibri"/>
              <a:ea typeface="+mn-ea"/>
              <a:cs typeface="Calibri"/>
            </a:rPr>
            <a:pPr marL="0" indent="0" algn="l"/>
            <a:t>YOY Growth %</a:t>
          </a:fld>
          <a:endParaRPr lang="en-US" sz="1400" b="1" i="0" u="none" strike="noStrike">
            <a:solidFill>
              <a:schemeClr val="bg2"/>
            </a:solidFill>
            <a:effectLst>
              <a:outerShdw blurRad="50800" dist="38100" dir="2700000" algn="tl" rotWithShape="0">
                <a:prstClr val="black">
                  <a:alpha val="40000"/>
                </a:prstClr>
              </a:outerShdw>
            </a:effectLst>
            <a:latin typeface="Calibri"/>
            <a:ea typeface="+mn-ea"/>
            <a:cs typeface="Calibri"/>
          </a:endParaRPr>
        </a:p>
      </xdr:txBody>
    </xdr:sp>
    <xdr:clientData/>
  </xdr:twoCellAnchor>
  <xdr:twoCellAnchor>
    <xdr:from>
      <xdr:col>10</xdr:col>
      <xdr:colOff>0</xdr:colOff>
      <xdr:row>7</xdr:row>
      <xdr:rowOff>51787</xdr:rowOff>
    </xdr:from>
    <xdr:to>
      <xdr:col>11</xdr:col>
      <xdr:colOff>73980</xdr:colOff>
      <xdr:row>8</xdr:row>
      <xdr:rowOff>103572</xdr:rowOff>
    </xdr:to>
    <xdr:sp macro="" textlink="">
      <xdr:nvSpPr>
        <xdr:cNvPr id="131" name="Rectangle: Rounded Corners 130">
          <a:extLst>
            <a:ext uri="{FF2B5EF4-FFF2-40B4-BE49-F238E27FC236}">
              <a16:creationId xmlns:a16="http://schemas.microsoft.com/office/drawing/2014/main" id="{00000000-0008-0000-0100-000083000000}"/>
            </a:ext>
          </a:extLst>
        </xdr:cNvPr>
        <xdr:cNvSpPr/>
      </xdr:nvSpPr>
      <xdr:spPr>
        <a:xfrm>
          <a:off x="6066408" y="1346447"/>
          <a:ext cx="680621" cy="236737"/>
        </a:xfrm>
        <a:prstGeom prst="roundRect">
          <a:avLst/>
        </a:prstGeom>
        <a:solidFill>
          <a:schemeClr val="bg1">
            <a:alpha val="14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492464</xdr:colOff>
      <xdr:row>22</xdr:row>
      <xdr:rowOff>85525</xdr:rowOff>
    </xdr:from>
    <xdr:to>
      <xdr:col>12</xdr:col>
      <xdr:colOff>495670</xdr:colOff>
      <xdr:row>35</xdr:row>
      <xdr:rowOff>99237</xdr:rowOff>
    </xdr:to>
    <xdr:sp macro="" textlink="">
      <xdr:nvSpPr>
        <xdr:cNvPr id="17" name="Rectangle: Rounded Corners 16">
          <a:extLst>
            <a:ext uri="{FF2B5EF4-FFF2-40B4-BE49-F238E27FC236}">
              <a16:creationId xmlns:a16="http://schemas.microsoft.com/office/drawing/2014/main" id="{00000000-0008-0000-0100-000011000000}"/>
            </a:ext>
          </a:extLst>
        </xdr:cNvPr>
        <xdr:cNvSpPr/>
      </xdr:nvSpPr>
      <xdr:spPr>
        <a:xfrm>
          <a:off x="2312386" y="4154457"/>
          <a:ext cx="5462973" cy="2418081"/>
        </a:xfrm>
        <a:prstGeom prst="roundRect">
          <a:avLst>
            <a:gd name="adj" fmla="val 11093"/>
          </a:avLst>
        </a:prstGeom>
        <a:gradFill flip="none" rotWithShape="1">
          <a:gsLst>
            <a:gs pos="99000">
              <a:srgbClr val="0E133F"/>
            </a:gs>
            <a:gs pos="29000">
              <a:srgbClr val="050B29"/>
            </a:gs>
          </a:gsLst>
          <a:lin ang="16200000" scaled="0"/>
          <a:tileRect/>
        </a:gradFill>
        <a:ln w="9525">
          <a:solidFill>
            <a:srgbClr val="062542"/>
          </a:solidFill>
        </a:ln>
        <a:effectLst>
          <a:outerShdw blurRad="190500" dist="127000" dir="8100000" algn="tr" rotWithShape="0">
            <a:prstClr val="black">
              <a:alpha val="9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2000" kern="1200">
            <a:solidFill>
              <a:schemeClr val="tx2">
                <a:lumMod val="50000"/>
                <a:lumOff val="50000"/>
              </a:schemeClr>
            </a:solidFill>
            <a:latin typeface="+mn-lt"/>
            <a:ea typeface="+mn-ea"/>
            <a:cs typeface="+mn-cs"/>
          </a:endParaRPr>
        </a:p>
      </xdr:txBody>
    </xdr:sp>
    <xdr:clientData/>
  </xdr:twoCellAnchor>
  <xdr:twoCellAnchor>
    <xdr:from>
      <xdr:col>9</xdr:col>
      <xdr:colOff>565759</xdr:colOff>
      <xdr:row>7</xdr:row>
      <xdr:rowOff>3321</xdr:rowOff>
    </xdr:from>
    <xdr:to>
      <xdr:col>11</xdr:col>
      <xdr:colOff>114573</xdr:colOff>
      <xdr:row>8</xdr:row>
      <xdr:rowOff>158412</xdr:rowOff>
    </xdr:to>
    <xdr:sp macro="" textlink="Processing!B5">
      <xdr:nvSpPr>
        <xdr:cNvPr id="132" name="TextBox 131">
          <a:extLst>
            <a:ext uri="{FF2B5EF4-FFF2-40B4-BE49-F238E27FC236}">
              <a16:creationId xmlns:a16="http://schemas.microsoft.com/office/drawing/2014/main" id="{00000000-0008-0000-0100-000084000000}"/>
            </a:ext>
          </a:extLst>
        </xdr:cNvPr>
        <xdr:cNvSpPr txBox="1"/>
      </xdr:nvSpPr>
      <xdr:spPr>
        <a:xfrm>
          <a:off x="6025526" y="1297981"/>
          <a:ext cx="762096" cy="3400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l"/>
          <a:fld id="{3C7A664C-E005-4AE4-8277-E76950193923}" type="TxLink">
            <a:rPr lang="en-US" sz="1100" b="1" i="0" u="none" strike="noStrike">
              <a:solidFill>
                <a:srgbClr val="66FF99"/>
              </a:solidFill>
              <a:effectLst/>
              <a:latin typeface="Calibri"/>
              <a:ea typeface="Roboto" panose="02000000000000000000" pitchFamily="2" charset="0"/>
              <a:cs typeface="Calibri"/>
            </a:rPr>
            <a:pPr marL="0" indent="0" algn="l"/>
            <a:t>▲ 50.14%</a:t>
          </a:fld>
          <a:endParaRPr lang="en-US" sz="1100" b="1" i="0" u="none" strike="noStrike">
            <a:solidFill>
              <a:srgbClr val="66FF99"/>
            </a:solidFill>
            <a:effectLst/>
            <a:latin typeface="Calibri"/>
            <a:ea typeface="Roboto" panose="02000000000000000000" pitchFamily="2" charset="0"/>
            <a:cs typeface="Calibri"/>
          </a:endParaRPr>
        </a:p>
      </xdr:txBody>
    </xdr:sp>
    <xdr:clientData/>
  </xdr:twoCellAnchor>
  <xdr:twoCellAnchor>
    <xdr:from>
      <xdr:col>7</xdr:col>
      <xdr:colOff>461774</xdr:colOff>
      <xdr:row>7</xdr:row>
      <xdr:rowOff>26239</xdr:rowOff>
    </xdr:from>
    <xdr:to>
      <xdr:col>9</xdr:col>
      <xdr:colOff>574197</xdr:colOff>
      <xdr:row>8</xdr:row>
      <xdr:rowOff>150290</xdr:rowOff>
    </xdr:to>
    <xdr:sp macro="" textlink="Processing!A3">
      <xdr:nvSpPr>
        <xdr:cNvPr id="133" name="TextBox 132">
          <a:extLst>
            <a:ext uri="{FF2B5EF4-FFF2-40B4-BE49-F238E27FC236}">
              <a16:creationId xmlns:a16="http://schemas.microsoft.com/office/drawing/2014/main" id="{00000000-0008-0000-0100-000085000000}"/>
            </a:ext>
          </a:extLst>
        </xdr:cNvPr>
        <xdr:cNvSpPr txBox="1"/>
      </xdr:nvSpPr>
      <xdr:spPr>
        <a:xfrm>
          <a:off x="4708259" y="1320899"/>
          <a:ext cx="1325705" cy="3090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l"/>
          <a:fld id="{56E8B2FF-5F4C-4BE9-B450-3BA060DAAAE3}" type="TxLink">
            <a:rPr lang="en-US" sz="1000" b="0" i="0" u="none" strike="noStrike">
              <a:solidFill>
                <a:schemeClr val="bg2"/>
              </a:solidFill>
              <a:effectLst>
                <a:outerShdw blurRad="50800" dist="38100" dir="2700000" algn="tl" rotWithShape="0">
                  <a:prstClr val="black">
                    <a:alpha val="40000"/>
                  </a:prstClr>
                </a:outerShdw>
              </a:effectLst>
              <a:latin typeface="Calibri"/>
              <a:ea typeface="+mn-ea"/>
              <a:cs typeface="Calibri"/>
            </a:rPr>
            <a:pPr marL="0" indent="0" algn="l"/>
            <a:t>YOY Growth %</a:t>
          </a:fld>
          <a:endParaRPr lang="en-US" sz="1400" b="1" i="0" u="none" strike="noStrike">
            <a:solidFill>
              <a:schemeClr val="bg2"/>
            </a:solidFill>
            <a:effectLst>
              <a:outerShdw blurRad="50800" dist="38100" dir="2700000" algn="tl" rotWithShape="0">
                <a:prstClr val="black">
                  <a:alpha val="40000"/>
                </a:prstClr>
              </a:outerShdw>
            </a:effectLst>
            <a:latin typeface="Calibri"/>
            <a:ea typeface="+mn-ea"/>
            <a:cs typeface="Calibri"/>
          </a:endParaRPr>
        </a:p>
      </xdr:txBody>
    </xdr:sp>
    <xdr:clientData/>
  </xdr:twoCellAnchor>
  <xdr:twoCellAnchor>
    <xdr:from>
      <xdr:col>13</xdr:col>
      <xdr:colOff>399495</xdr:colOff>
      <xdr:row>7</xdr:row>
      <xdr:rowOff>51787</xdr:rowOff>
    </xdr:from>
    <xdr:to>
      <xdr:col>14</xdr:col>
      <xdr:colOff>473475</xdr:colOff>
      <xdr:row>8</xdr:row>
      <xdr:rowOff>103572</xdr:rowOff>
    </xdr:to>
    <xdr:sp macro="" textlink="">
      <xdr:nvSpPr>
        <xdr:cNvPr id="135" name="Rectangle: Rounded Corners 134">
          <a:extLst>
            <a:ext uri="{FF2B5EF4-FFF2-40B4-BE49-F238E27FC236}">
              <a16:creationId xmlns:a16="http://schemas.microsoft.com/office/drawing/2014/main" id="{00000000-0008-0000-0100-000087000000}"/>
            </a:ext>
          </a:extLst>
        </xdr:cNvPr>
        <xdr:cNvSpPr/>
      </xdr:nvSpPr>
      <xdr:spPr>
        <a:xfrm>
          <a:off x="8285825" y="1346447"/>
          <a:ext cx="680621" cy="236737"/>
        </a:xfrm>
        <a:prstGeom prst="roundRect">
          <a:avLst/>
        </a:prstGeom>
        <a:solidFill>
          <a:schemeClr val="bg1">
            <a:alpha val="14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358613</xdr:colOff>
      <xdr:row>7</xdr:row>
      <xdr:rowOff>3321</xdr:rowOff>
    </xdr:from>
    <xdr:to>
      <xdr:col>14</xdr:col>
      <xdr:colOff>514068</xdr:colOff>
      <xdr:row>8</xdr:row>
      <xdr:rowOff>158412</xdr:rowOff>
    </xdr:to>
    <xdr:sp macro="" textlink="Processing!C5">
      <xdr:nvSpPr>
        <xdr:cNvPr id="136" name="TextBox 135">
          <a:extLst>
            <a:ext uri="{FF2B5EF4-FFF2-40B4-BE49-F238E27FC236}">
              <a16:creationId xmlns:a16="http://schemas.microsoft.com/office/drawing/2014/main" id="{00000000-0008-0000-0100-000088000000}"/>
            </a:ext>
          </a:extLst>
        </xdr:cNvPr>
        <xdr:cNvSpPr txBox="1"/>
      </xdr:nvSpPr>
      <xdr:spPr>
        <a:xfrm>
          <a:off x="8244943" y="1297981"/>
          <a:ext cx="762096" cy="3400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l"/>
          <a:fld id="{230B444E-52C2-4C3B-979B-49DB790C600B}" type="TxLink">
            <a:rPr lang="en-US" sz="1100" b="1" i="0" u="none" strike="noStrike">
              <a:solidFill>
                <a:srgbClr val="66FF99"/>
              </a:solidFill>
              <a:effectLst/>
              <a:latin typeface="Calibri"/>
              <a:ea typeface="Roboto" panose="02000000000000000000" pitchFamily="2" charset="0"/>
              <a:cs typeface="Calibri"/>
            </a:rPr>
            <a:pPr marL="0" indent="0" algn="l"/>
            <a:t>▲ 47.12%</a:t>
          </a:fld>
          <a:endParaRPr lang="en-US" sz="1100" b="1" i="0" u="none" strike="noStrike">
            <a:solidFill>
              <a:srgbClr val="66FF99"/>
            </a:solidFill>
            <a:effectLst/>
            <a:latin typeface="Calibri"/>
            <a:ea typeface="Roboto" panose="02000000000000000000" pitchFamily="2" charset="0"/>
            <a:cs typeface="Calibri"/>
          </a:endParaRPr>
        </a:p>
      </xdr:txBody>
    </xdr:sp>
    <xdr:clientData/>
  </xdr:twoCellAnchor>
  <xdr:twoCellAnchor>
    <xdr:from>
      <xdr:col>11</xdr:col>
      <xdr:colOff>254627</xdr:colOff>
      <xdr:row>7</xdr:row>
      <xdr:rowOff>26239</xdr:rowOff>
    </xdr:from>
    <xdr:to>
      <xdr:col>13</xdr:col>
      <xdr:colOff>367051</xdr:colOff>
      <xdr:row>8</xdr:row>
      <xdr:rowOff>150290</xdr:rowOff>
    </xdr:to>
    <xdr:sp macro="" textlink="Processing!A3">
      <xdr:nvSpPr>
        <xdr:cNvPr id="137" name="TextBox 136">
          <a:extLst>
            <a:ext uri="{FF2B5EF4-FFF2-40B4-BE49-F238E27FC236}">
              <a16:creationId xmlns:a16="http://schemas.microsoft.com/office/drawing/2014/main" id="{00000000-0008-0000-0100-000089000000}"/>
            </a:ext>
          </a:extLst>
        </xdr:cNvPr>
        <xdr:cNvSpPr txBox="1"/>
      </xdr:nvSpPr>
      <xdr:spPr>
        <a:xfrm>
          <a:off x="6927676" y="1320899"/>
          <a:ext cx="1325705" cy="3090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l"/>
          <a:fld id="{56E8B2FF-5F4C-4BE9-B450-3BA060DAAAE3}" type="TxLink">
            <a:rPr lang="en-US" sz="1000" b="0" i="0" u="none" strike="noStrike">
              <a:solidFill>
                <a:schemeClr val="bg2"/>
              </a:solidFill>
              <a:effectLst>
                <a:outerShdw blurRad="50800" dist="38100" dir="2700000" algn="tl" rotWithShape="0">
                  <a:prstClr val="black">
                    <a:alpha val="40000"/>
                  </a:prstClr>
                </a:outerShdw>
              </a:effectLst>
              <a:latin typeface="Calibri"/>
              <a:ea typeface="+mn-ea"/>
              <a:cs typeface="Calibri"/>
            </a:rPr>
            <a:pPr marL="0" indent="0" algn="l"/>
            <a:t>YOY Growth %</a:t>
          </a:fld>
          <a:endParaRPr lang="en-US" sz="1400" b="1" i="0" u="none" strike="noStrike">
            <a:solidFill>
              <a:schemeClr val="bg2"/>
            </a:solidFill>
            <a:effectLst>
              <a:outerShdw blurRad="50800" dist="38100" dir="2700000" algn="tl" rotWithShape="0">
                <a:prstClr val="black">
                  <a:alpha val="40000"/>
                </a:prstClr>
              </a:outerShdw>
            </a:effectLst>
            <a:latin typeface="Calibri"/>
            <a:ea typeface="+mn-ea"/>
            <a:cs typeface="Calibri"/>
          </a:endParaRPr>
        </a:p>
      </xdr:txBody>
    </xdr:sp>
    <xdr:clientData/>
  </xdr:twoCellAnchor>
  <xdr:twoCellAnchor>
    <xdr:from>
      <xdr:col>17</xdr:col>
      <xdr:colOff>229340</xdr:colOff>
      <xdr:row>7</xdr:row>
      <xdr:rowOff>51787</xdr:rowOff>
    </xdr:from>
    <xdr:to>
      <xdr:col>18</xdr:col>
      <xdr:colOff>303320</xdr:colOff>
      <xdr:row>8</xdr:row>
      <xdr:rowOff>103572</xdr:rowOff>
    </xdr:to>
    <xdr:sp macro="" textlink="">
      <xdr:nvSpPr>
        <xdr:cNvPr id="139" name="Rectangle: Rounded Corners 138">
          <a:extLst>
            <a:ext uri="{FF2B5EF4-FFF2-40B4-BE49-F238E27FC236}">
              <a16:creationId xmlns:a16="http://schemas.microsoft.com/office/drawing/2014/main" id="{00000000-0008-0000-0100-00008B000000}"/>
            </a:ext>
          </a:extLst>
        </xdr:cNvPr>
        <xdr:cNvSpPr/>
      </xdr:nvSpPr>
      <xdr:spPr>
        <a:xfrm>
          <a:off x="10542233" y="1346447"/>
          <a:ext cx="680621" cy="236737"/>
        </a:xfrm>
        <a:prstGeom prst="roundRect">
          <a:avLst/>
        </a:prstGeom>
        <a:solidFill>
          <a:schemeClr val="bg1">
            <a:alpha val="14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188458</xdr:colOff>
      <xdr:row>7</xdr:row>
      <xdr:rowOff>3321</xdr:rowOff>
    </xdr:from>
    <xdr:to>
      <xdr:col>18</xdr:col>
      <xdr:colOff>343913</xdr:colOff>
      <xdr:row>8</xdr:row>
      <xdr:rowOff>158412</xdr:rowOff>
    </xdr:to>
    <xdr:sp macro="" textlink="Processing!D5">
      <xdr:nvSpPr>
        <xdr:cNvPr id="140" name="TextBox 139">
          <a:extLst>
            <a:ext uri="{FF2B5EF4-FFF2-40B4-BE49-F238E27FC236}">
              <a16:creationId xmlns:a16="http://schemas.microsoft.com/office/drawing/2014/main" id="{00000000-0008-0000-0100-00008C000000}"/>
            </a:ext>
          </a:extLst>
        </xdr:cNvPr>
        <xdr:cNvSpPr txBox="1"/>
      </xdr:nvSpPr>
      <xdr:spPr>
        <a:xfrm>
          <a:off x="10501351" y="1297981"/>
          <a:ext cx="762096" cy="3400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l"/>
          <a:fld id="{8E228CA0-80A4-4C97-9FFE-6728A2303BB0}" type="TxLink">
            <a:rPr lang="en-US" sz="1100" b="1" i="0" u="none" strike="noStrike">
              <a:solidFill>
                <a:srgbClr val="66FF99"/>
              </a:solidFill>
              <a:effectLst/>
              <a:latin typeface="Calibri"/>
              <a:ea typeface="Roboto" panose="02000000000000000000" pitchFamily="2" charset="0"/>
              <a:cs typeface="Calibri"/>
            </a:rPr>
            <a:pPr marL="0" indent="0" algn="l"/>
            <a:t>▲ 48.81%</a:t>
          </a:fld>
          <a:endParaRPr lang="en-US" sz="1100" b="1" i="0" u="none" strike="noStrike">
            <a:solidFill>
              <a:srgbClr val="66FF99"/>
            </a:solidFill>
            <a:effectLst/>
            <a:latin typeface="Calibri"/>
            <a:ea typeface="Roboto" panose="02000000000000000000" pitchFamily="2" charset="0"/>
            <a:cs typeface="Calibri"/>
          </a:endParaRPr>
        </a:p>
      </xdr:txBody>
    </xdr:sp>
    <xdr:clientData/>
  </xdr:twoCellAnchor>
  <xdr:twoCellAnchor>
    <xdr:from>
      <xdr:col>15</xdr:col>
      <xdr:colOff>84472</xdr:colOff>
      <xdr:row>7</xdr:row>
      <xdr:rowOff>26239</xdr:rowOff>
    </xdr:from>
    <xdr:to>
      <xdr:col>17</xdr:col>
      <xdr:colOff>196896</xdr:colOff>
      <xdr:row>8</xdr:row>
      <xdr:rowOff>150290</xdr:rowOff>
    </xdr:to>
    <xdr:sp macro="" textlink="Processing!A3">
      <xdr:nvSpPr>
        <xdr:cNvPr id="141" name="TextBox 140">
          <a:extLst>
            <a:ext uri="{FF2B5EF4-FFF2-40B4-BE49-F238E27FC236}">
              <a16:creationId xmlns:a16="http://schemas.microsoft.com/office/drawing/2014/main" id="{00000000-0008-0000-0100-00008D000000}"/>
            </a:ext>
          </a:extLst>
        </xdr:cNvPr>
        <xdr:cNvSpPr txBox="1"/>
      </xdr:nvSpPr>
      <xdr:spPr>
        <a:xfrm>
          <a:off x="9184084" y="1320899"/>
          <a:ext cx="1325705" cy="3090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l"/>
          <a:fld id="{56E8B2FF-5F4C-4BE9-B450-3BA060DAAAE3}" type="TxLink">
            <a:rPr lang="en-US" sz="1000" b="0" i="0" u="none" strike="noStrike">
              <a:solidFill>
                <a:schemeClr val="bg2"/>
              </a:solidFill>
              <a:effectLst>
                <a:outerShdw blurRad="50800" dist="38100" dir="2700000" algn="tl" rotWithShape="0">
                  <a:prstClr val="black">
                    <a:alpha val="40000"/>
                  </a:prstClr>
                </a:outerShdw>
              </a:effectLst>
              <a:latin typeface="Calibri"/>
              <a:ea typeface="+mn-ea"/>
              <a:cs typeface="Calibri"/>
            </a:rPr>
            <a:pPr marL="0" indent="0" algn="l"/>
            <a:t>YOY Growth %</a:t>
          </a:fld>
          <a:endParaRPr lang="en-US" sz="1400" b="1" i="0" u="none" strike="noStrike">
            <a:solidFill>
              <a:schemeClr val="bg2"/>
            </a:solidFill>
            <a:effectLst>
              <a:outerShdw blurRad="50800" dist="38100" dir="2700000" algn="tl" rotWithShape="0">
                <a:prstClr val="black">
                  <a:alpha val="40000"/>
                </a:prstClr>
              </a:outerShdw>
            </a:effectLst>
            <a:latin typeface="Calibri"/>
            <a:ea typeface="+mn-ea"/>
            <a:cs typeface="Calibri"/>
          </a:endParaRPr>
        </a:p>
      </xdr:txBody>
    </xdr:sp>
    <xdr:clientData/>
  </xdr:twoCellAnchor>
  <xdr:twoCellAnchor>
    <xdr:from>
      <xdr:col>6</xdr:col>
      <xdr:colOff>129273</xdr:colOff>
      <xdr:row>7</xdr:row>
      <xdr:rowOff>10718</xdr:rowOff>
    </xdr:from>
    <xdr:to>
      <xdr:col>7</xdr:col>
      <xdr:colOff>284729</xdr:colOff>
      <xdr:row>8</xdr:row>
      <xdr:rowOff>165809</xdr:rowOff>
    </xdr:to>
    <xdr:sp macro="" textlink="Processing!A6">
      <xdr:nvSpPr>
        <xdr:cNvPr id="146" name="TextBox 145">
          <a:extLst>
            <a:ext uri="{FF2B5EF4-FFF2-40B4-BE49-F238E27FC236}">
              <a16:creationId xmlns:a16="http://schemas.microsoft.com/office/drawing/2014/main" id="{00000000-0008-0000-0100-000092000000}"/>
            </a:ext>
          </a:extLst>
        </xdr:cNvPr>
        <xdr:cNvSpPr txBox="1"/>
      </xdr:nvSpPr>
      <xdr:spPr>
        <a:xfrm>
          <a:off x="3769118" y="1305378"/>
          <a:ext cx="762096" cy="3400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l"/>
          <a:fld id="{30FCAC08-6BBA-4238-938C-36C8B7FC22FA}" type="TxLink">
            <a:rPr lang="en-US" sz="1100" b="1" i="0" u="none" strike="noStrike">
              <a:solidFill>
                <a:srgbClr val="FF0000"/>
              </a:solidFill>
              <a:effectLst/>
              <a:latin typeface="Calibri"/>
              <a:ea typeface="Roboto" panose="02000000000000000000" pitchFamily="2" charset="0"/>
              <a:cs typeface="Calibri"/>
            </a:rPr>
            <a:pPr marL="0" indent="0" algn="l"/>
            <a:t> </a:t>
          </a:fld>
          <a:endParaRPr lang="en-US" sz="1100" b="1" i="0" u="none" strike="noStrike">
            <a:solidFill>
              <a:srgbClr val="FF0000"/>
            </a:solidFill>
            <a:effectLst/>
            <a:latin typeface="Calibri"/>
            <a:ea typeface="Roboto" panose="02000000000000000000" pitchFamily="2" charset="0"/>
            <a:cs typeface="Calibri"/>
          </a:endParaRPr>
        </a:p>
      </xdr:txBody>
    </xdr:sp>
    <xdr:clientData/>
  </xdr:twoCellAnchor>
  <xdr:twoCellAnchor>
    <xdr:from>
      <xdr:col>9</xdr:col>
      <xdr:colOff>565759</xdr:colOff>
      <xdr:row>7</xdr:row>
      <xdr:rowOff>10718</xdr:rowOff>
    </xdr:from>
    <xdr:to>
      <xdr:col>11</xdr:col>
      <xdr:colOff>114573</xdr:colOff>
      <xdr:row>8</xdr:row>
      <xdr:rowOff>165809</xdr:rowOff>
    </xdr:to>
    <xdr:sp macro="" textlink="Processing!B6">
      <xdr:nvSpPr>
        <xdr:cNvPr id="147" name="TextBox 146">
          <a:extLst>
            <a:ext uri="{FF2B5EF4-FFF2-40B4-BE49-F238E27FC236}">
              <a16:creationId xmlns:a16="http://schemas.microsoft.com/office/drawing/2014/main" id="{00000000-0008-0000-0100-000093000000}"/>
            </a:ext>
          </a:extLst>
        </xdr:cNvPr>
        <xdr:cNvSpPr txBox="1"/>
      </xdr:nvSpPr>
      <xdr:spPr>
        <a:xfrm>
          <a:off x="6025526" y="1305378"/>
          <a:ext cx="762096" cy="3400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l"/>
          <a:fld id="{32C9120D-F2FF-4874-9E2C-B53AA0DE8880}" type="TxLink">
            <a:rPr lang="en-US" sz="1100" b="1" i="0" u="none" strike="noStrike">
              <a:solidFill>
                <a:srgbClr val="FF0000"/>
              </a:solidFill>
              <a:effectLst/>
              <a:latin typeface="Calibri"/>
              <a:ea typeface="Roboto" panose="02000000000000000000" pitchFamily="2" charset="0"/>
              <a:cs typeface="Calibri"/>
            </a:rPr>
            <a:pPr marL="0" indent="0" algn="l"/>
            <a:t> </a:t>
          </a:fld>
          <a:endParaRPr lang="en-US" sz="1100" b="1" i="0" u="none" strike="noStrike">
            <a:solidFill>
              <a:srgbClr val="FF0000"/>
            </a:solidFill>
            <a:effectLst/>
            <a:latin typeface="Calibri"/>
            <a:ea typeface="Roboto" panose="02000000000000000000" pitchFamily="2" charset="0"/>
            <a:cs typeface="Calibri"/>
          </a:endParaRPr>
        </a:p>
      </xdr:txBody>
    </xdr:sp>
    <xdr:clientData/>
  </xdr:twoCellAnchor>
  <xdr:twoCellAnchor>
    <xdr:from>
      <xdr:col>13</xdr:col>
      <xdr:colOff>358613</xdr:colOff>
      <xdr:row>7</xdr:row>
      <xdr:rowOff>10718</xdr:rowOff>
    </xdr:from>
    <xdr:to>
      <xdr:col>14</xdr:col>
      <xdr:colOff>514068</xdr:colOff>
      <xdr:row>8</xdr:row>
      <xdr:rowOff>165809</xdr:rowOff>
    </xdr:to>
    <xdr:sp macro="" textlink="Processing!C6">
      <xdr:nvSpPr>
        <xdr:cNvPr id="148" name="TextBox 147">
          <a:extLst>
            <a:ext uri="{FF2B5EF4-FFF2-40B4-BE49-F238E27FC236}">
              <a16:creationId xmlns:a16="http://schemas.microsoft.com/office/drawing/2014/main" id="{00000000-0008-0000-0100-000094000000}"/>
            </a:ext>
          </a:extLst>
        </xdr:cNvPr>
        <xdr:cNvSpPr txBox="1"/>
      </xdr:nvSpPr>
      <xdr:spPr>
        <a:xfrm>
          <a:off x="8244943" y="1305378"/>
          <a:ext cx="762096" cy="3400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l"/>
          <a:fld id="{8E9125BC-0CC9-4BD0-910B-5842FBAA293E}" type="TxLink">
            <a:rPr lang="en-US" sz="1100" b="1" i="0" u="none" strike="noStrike">
              <a:solidFill>
                <a:srgbClr val="FF0000"/>
              </a:solidFill>
              <a:effectLst/>
              <a:latin typeface="Calibri"/>
              <a:ea typeface="Roboto" panose="02000000000000000000" pitchFamily="2" charset="0"/>
              <a:cs typeface="Calibri"/>
            </a:rPr>
            <a:pPr marL="0" indent="0" algn="l"/>
            <a:t> </a:t>
          </a:fld>
          <a:endParaRPr lang="en-US" sz="1100" b="1" i="0" u="none" strike="noStrike">
            <a:solidFill>
              <a:srgbClr val="FF0000"/>
            </a:solidFill>
            <a:effectLst/>
            <a:latin typeface="Calibri"/>
            <a:ea typeface="Roboto" panose="02000000000000000000" pitchFamily="2" charset="0"/>
            <a:cs typeface="Calibri"/>
          </a:endParaRPr>
        </a:p>
      </xdr:txBody>
    </xdr:sp>
    <xdr:clientData/>
  </xdr:twoCellAnchor>
  <xdr:twoCellAnchor>
    <xdr:from>
      <xdr:col>17</xdr:col>
      <xdr:colOff>188458</xdr:colOff>
      <xdr:row>7</xdr:row>
      <xdr:rowOff>10718</xdr:rowOff>
    </xdr:from>
    <xdr:to>
      <xdr:col>18</xdr:col>
      <xdr:colOff>343913</xdr:colOff>
      <xdr:row>8</xdr:row>
      <xdr:rowOff>165809</xdr:rowOff>
    </xdr:to>
    <xdr:sp macro="" textlink="Processing!D6">
      <xdr:nvSpPr>
        <xdr:cNvPr id="149" name="TextBox 148">
          <a:extLst>
            <a:ext uri="{FF2B5EF4-FFF2-40B4-BE49-F238E27FC236}">
              <a16:creationId xmlns:a16="http://schemas.microsoft.com/office/drawing/2014/main" id="{00000000-0008-0000-0100-000095000000}"/>
            </a:ext>
          </a:extLst>
        </xdr:cNvPr>
        <xdr:cNvSpPr txBox="1"/>
      </xdr:nvSpPr>
      <xdr:spPr>
        <a:xfrm>
          <a:off x="10501351" y="1305378"/>
          <a:ext cx="762096" cy="3400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l"/>
          <a:fld id="{104F684D-C9B6-49FE-A212-2571D65EDF2B}" type="TxLink">
            <a:rPr lang="en-US" sz="1100" b="1" i="0" u="none" strike="noStrike">
              <a:solidFill>
                <a:srgbClr val="FF0000"/>
              </a:solidFill>
              <a:effectLst/>
              <a:latin typeface="Calibri"/>
              <a:ea typeface="Roboto" panose="02000000000000000000" pitchFamily="2" charset="0"/>
              <a:cs typeface="Calibri"/>
            </a:rPr>
            <a:pPr marL="0" indent="0" algn="l"/>
            <a:t> </a:t>
          </a:fld>
          <a:endParaRPr lang="en-US" sz="1100" b="1" i="0" u="none" strike="noStrike">
            <a:solidFill>
              <a:srgbClr val="FF0000"/>
            </a:solidFill>
            <a:effectLst/>
            <a:latin typeface="Calibri"/>
            <a:ea typeface="Roboto" panose="02000000000000000000" pitchFamily="2" charset="0"/>
            <a:cs typeface="Calibri"/>
          </a:endParaRPr>
        </a:p>
      </xdr:txBody>
    </xdr:sp>
    <xdr:clientData/>
  </xdr:twoCellAnchor>
  <xdr:twoCellAnchor>
    <xdr:from>
      <xdr:col>3</xdr:col>
      <xdr:colOff>529455</xdr:colOff>
      <xdr:row>23</xdr:row>
      <xdr:rowOff>155359</xdr:rowOff>
    </xdr:from>
    <xdr:to>
      <xdr:col>12</xdr:col>
      <xdr:colOff>510368</xdr:colOff>
      <xdr:row>34</xdr:row>
      <xdr:rowOff>155357</xdr:rowOff>
    </xdr:to>
    <xdr:graphicFrame macro="">
      <xdr:nvGraphicFramePr>
        <xdr:cNvPr id="153" name="Chart 152">
          <a:extLst>
            <a:ext uri="{FF2B5EF4-FFF2-40B4-BE49-F238E27FC236}">
              <a16:creationId xmlns:a16="http://schemas.microsoft.com/office/drawing/2014/main" id="{00000000-0008-0000-0100-00009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4</xdr:col>
      <xdr:colOff>303320</xdr:colOff>
      <xdr:row>33</xdr:row>
      <xdr:rowOff>43311</xdr:rowOff>
    </xdr:from>
    <xdr:to>
      <xdr:col>12</xdr:col>
      <xdr:colOff>392097</xdr:colOff>
      <xdr:row>35</xdr:row>
      <xdr:rowOff>46788</xdr:rowOff>
    </xdr:to>
    <mc:AlternateContent xmlns:mc="http://schemas.openxmlformats.org/markup-compatibility/2006" xmlns:a14="http://schemas.microsoft.com/office/drawing/2010/main">
      <mc:Choice Requires="a14">
        <xdr:graphicFrame macro="">
          <xdr:nvGraphicFramePr>
            <xdr:cNvPr id="152" name="Months (Date)">
              <a:extLst>
                <a:ext uri="{FF2B5EF4-FFF2-40B4-BE49-F238E27FC236}">
                  <a16:creationId xmlns:a16="http://schemas.microsoft.com/office/drawing/2014/main" id="{00000000-0008-0000-0100-000098000000}"/>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2729883" y="6146709"/>
              <a:ext cx="4941903" cy="373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554854</xdr:colOff>
      <xdr:row>9</xdr:row>
      <xdr:rowOff>162758</xdr:rowOff>
    </xdr:from>
    <xdr:to>
      <xdr:col>21</xdr:col>
      <xdr:colOff>229339</xdr:colOff>
      <xdr:row>11</xdr:row>
      <xdr:rowOff>59185</xdr:rowOff>
    </xdr:to>
    <xdr:sp macro="" textlink="Processing!A27">
      <xdr:nvSpPr>
        <xdr:cNvPr id="158" name="TextBox 157">
          <a:extLst>
            <a:ext uri="{FF2B5EF4-FFF2-40B4-BE49-F238E27FC236}">
              <a16:creationId xmlns:a16="http://schemas.microsoft.com/office/drawing/2014/main" id="{00000000-0008-0000-0100-00009E000000}"/>
            </a:ext>
          </a:extLst>
        </xdr:cNvPr>
        <xdr:cNvSpPr txBox="1"/>
      </xdr:nvSpPr>
      <xdr:spPr>
        <a:xfrm>
          <a:off x="9654466" y="1827321"/>
          <a:ext cx="3314329" cy="266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3EF9330-320C-4C31-BB2F-CD8C1556C2C5}" type="TxLink">
            <a:rPr lang="en-US" sz="1200" b="1" i="0" u="none" strike="noStrike">
              <a:solidFill>
                <a:srgbClr val="DCDDE8"/>
              </a:solidFill>
              <a:latin typeface="Mangal Pro" panose="00000500000000000000" pitchFamily="2" charset="0"/>
              <a:ea typeface="+mn-ea"/>
              <a:cs typeface="Mangal Pro" panose="00000500000000000000" pitchFamily="2" charset="0"/>
            </a:rPr>
            <a:pPr marL="0" indent="0" algn="ctr"/>
            <a:t>Revenue &amp; Conversions by Channel</a:t>
          </a:fld>
          <a:endParaRPr lang="en-US" sz="1200" b="1" i="0" u="none" strike="noStrike">
            <a:solidFill>
              <a:srgbClr val="DCDDE8"/>
            </a:solidFill>
            <a:latin typeface="Mangal Pro" panose="00000500000000000000" pitchFamily="2" charset="0"/>
            <a:ea typeface="+mn-ea"/>
            <a:cs typeface="Mangal Pro" panose="00000500000000000000" pitchFamily="2" charset="0"/>
          </a:endParaRPr>
        </a:p>
      </xdr:txBody>
    </xdr:sp>
    <xdr:clientData/>
  </xdr:twoCellAnchor>
  <xdr:twoCellAnchor>
    <xdr:from>
      <xdr:col>15</xdr:col>
      <xdr:colOff>193783</xdr:colOff>
      <xdr:row>11</xdr:row>
      <xdr:rowOff>59184</xdr:rowOff>
    </xdr:from>
    <xdr:to>
      <xdr:col>22</xdr:col>
      <xdr:colOff>173069</xdr:colOff>
      <xdr:row>21</xdr:row>
      <xdr:rowOff>118369</xdr:rowOff>
    </xdr:to>
    <xdr:grpSp>
      <xdr:nvGrpSpPr>
        <xdr:cNvPr id="166" name="Group 165">
          <a:extLst>
            <a:ext uri="{FF2B5EF4-FFF2-40B4-BE49-F238E27FC236}">
              <a16:creationId xmlns:a16="http://schemas.microsoft.com/office/drawing/2014/main" id="{00000000-0008-0000-0100-0000A6000000}"/>
            </a:ext>
          </a:extLst>
        </xdr:cNvPr>
        <xdr:cNvGrpSpPr/>
      </xdr:nvGrpSpPr>
      <xdr:grpSpPr>
        <a:xfrm>
          <a:off x="9293395" y="2093650"/>
          <a:ext cx="4225771" cy="1908700"/>
          <a:chOff x="9293395" y="2025991"/>
          <a:chExt cx="4225771" cy="1813560"/>
        </a:xfrm>
      </xdr:grpSpPr>
      <xdr:graphicFrame macro="">
        <xdr:nvGraphicFramePr>
          <xdr:cNvPr id="155" name="Chart 154">
            <a:extLst>
              <a:ext uri="{FF2B5EF4-FFF2-40B4-BE49-F238E27FC236}">
                <a16:creationId xmlns:a16="http://schemas.microsoft.com/office/drawing/2014/main" id="{00000000-0008-0000-0100-00009B000000}"/>
              </a:ext>
            </a:extLst>
          </xdr:cNvPr>
          <xdr:cNvGraphicFramePr/>
        </xdr:nvGraphicFramePr>
        <xdr:xfrm>
          <a:off x="9293395" y="2025991"/>
          <a:ext cx="2842260" cy="1653540"/>
        </xdr:xfrm>
        <a:graphic>
          <a:graphicData uri="http://schemas.openxmlformats.org/drawingml/2006/chart">
            <c:chart xmlns:c="http://schemas.openxmlformats.org/drawingml/2006/chart" xmlns:r="http://schemas.openxmlformats.org/officeDocument/2006/relationships" r:id="rId18"/>
          </a:graphicData>
        </a:graphic>
      </xdr:graphicFrame>
      <xdr:graphicFrame macro="">
        <xdr:nvGraphicFramePr>
          <xdr:cNvPr id="156" name="Chart 155">
            <a:extLst>
              <a:ext uri="{FF2B5EF4-FFF2-40B4-BE49-F238E27FC236}">
                <a16:creationId xmlns:a16="http://schemas.microsoft.com/office/drawing/2014/main" id="{00000000-0008-0000-0100-00009C000000}"/>
              </a:ext>
            </a:extLst>
          </xdr:cNvPr>
          <xdr:cNvGraphicFramePr/>
        </xdr:nvGraphicFramePr>
        <xdr:xfrm>
          <a:off x="10549631" y="2041231"/>
          <a:ext cx="2969535" cy="1798320"/>
        </xdr:xfrm>
        <a:graphic>
          <a:graphicData uri="http://schemas.openxmlformats.org/drawingml/2006/chart">
            <c:chart xmlns:c="http://schemas.openxmlformats.org/drawingml/2006/chart" xmlns:r="http://schemas.openxmlformats.org/officeDocument/2006/relationships" r:id="rId19"/>
          </a:graphicData>
        </a:graphic>
      </xdr:graphicFrame>
      <xdr:sp macro="" textlink="">
        <xdr:nvSpPr>
          <xdr:cNvPr id="159" name="TextBox 158">
            <a:extLst>
              <a:ext uri="{FF2B5EF4-FFF2-40B4-BE49-F238E27FC236}">
                <a16:creationId xmlns:a16="http://schemas.microsoft.com/office/drawing/2014/main" id="{00000000-0008-0000-0100-00009F000000}"/>
              </a:ext>
            </a:extLst>
          </xdr:cNvPr>
          <xdr:cNvSpPr txBox="1"/>
        </xdr:nvSpPr>
        <xdr:spPr>
          <a:xfrm>
            <a:off x="9395533" y="2086253"/>
            <a:ext cx="813787" cy="266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1">
                <a:solidFill>
                  <a:srgbClr val="99A8BD"/>
                </a:solidFill>
              </a:rPr>
              <a:t>Campaign</a:t>
            </a:r>
          </a:p>
        </xdr:txBody>
      </xdr:sp>
      <xdr:sp macro="" textlink="">
        <xdr:nvSpPr>
          <xdr:cNvPr id="160" name="TextBox 159">
            <a:extLst>
              <a:ext uri="{FF2B5EF4-FFF2-40B4-BE49-F238E27FC236}">
                <a16:creationId xmlns:a16="http://schemas.microsoft.com/office/drawing/2014/main" id="{00000000-0008-0000-0100-0000A0000000}"/>
              </a:ext>
            </a:extLst>
          </xdr:cNvPr>
          <xdr:cNvSpPr txBox="1"/>
        </xdr:nvSpPr>
        <xdr:spPr>
          <a:xfrm>
            <a:off x="10024368" y="2086253"/>
            <a:ext cx="917360" cy="266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50" b="1">
                <a:solidFill>
                  <a:srgbClr val="99A8BD"/>
                </a:solidFill>
              </a:rPr>
              <a:t>Conversions</a:t>
            </a:r>
          </a:p>
        </xdr:txBody>
      </xdr:sp>
      <xdr:sp macro="" textlink="Processing!C31">
        <xdr:nvSpPr>
          <xdr:cNvPr id="162" name="TextBox 161">
            <a:extLst>
              <a:ext uri="{FF2B5EF4-FFF2-40B4-BE49-F238E27FC236}">
                <a16:creationId xmlns:a16="http://schemas.microsoft.com/office/drawing/2014/main" id="{00000000-0008-0000-0100-0000A2000000}"/>
              </a:ext>
            </a:extLst>
          </xdr:cNvPr>
          <xdr:cNvSpPr txBox="1"/>
        </xdr:nvSpPr>
        <xdr:spPr>
          <a:xfrm>
            <a:off x="10090952" y="2330389"/>
            <a:ext cx="695417" cy="221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F0988B8-8BE3-44B0-B325-C15EC873FE6B}" type="TxLink">
              <a:rPr lang="en-US" sz="1200" b="1" i="0" u="none" strike="noStrike">
                <a:solidFill>
                  <a:srgbClr val="3399FF"/>
                </a:solidFill>
                <a:latin typeface="Calibri"/>
                <a:ea typeface="+mn-ea"/>
                <a:cs typeface="Calibri"/>
              </a:rPr>
              <a:pPr marL="0" indent="0" algn="ctr"/>
              <a:t>94K</a:t>
            </a:fld>
            <a:endParaRPr lang="en-US" sz="1200" b="1" i="0" u="none" strike="noStrike">
              <a:solidFill>
                <a:srgbClr val="3399FF"/>
              </a:solidFill>
              <a:latin typeface="Calibri"/>
              <a:ea typeface="+mn-ea"/>
              <a:cs typeface="Calibri"/>
            </a:endParaRPr>
          </a:p>
        </xdr:txBody>
      </xdr:sp>
      <xdr:sp macro="" textlink="Processing!C30">
        <xdr:nvSpPr>
          <xdr:cNvPr id="163" name="TextBox 162">
            <a:extLst>
              <a:ext uri="{FF2B5EF4-FFF2-40B4-BE49-F238E27FC236}">
                <a16:creationId xmlns:a16="http://schemas.microsoft.com/office/drawing/2014/main" id="{00000000-0008-0000-0100-0000A3000000}"/>
              </a:ext>
            </a:extLst>
          </xdr:cNvPr>
          <xdr:cNvSpPr txBox="1"/>
        </xdr:nvSpPr>
        <xdr:spPr>
          <a:xfrm>
            <a:off x="10090952" y="2633710"/>
            <a:ext cx="695417" cy="221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06C68FB-3B2B-478E-934F-F14A11FAE538}" type="TxLink">
              <a:rPr lang="en-US" sz="1200" b="1" i="0" u="none" strike="noStrike">
                <a:solidFill>
                  <a:srgbClr val="3399FF"/>
                </a:solidFill>
                <a:latin typeface="Calibri"/>
                <a:ea typeface="+mn-ea"/>
                <a:cs typeface="Calibri"/>
              </a:rPr>
              <a:pPr marL="0" indent="0" algn="ctr"/>
              <a:t>50K</a:t>
            </a:fld>
            <a:endParaRPr lang="en-US" sz="1200" b="1" i="0" u="none" strike="noStrike">
              <a:solidFill>
                <a:srgbClr val="3399FF"/>
              </a:solidFill>
              <a:latin typeface="Calibri"/>
              <a:ea typeface="+mn-ea"/>
              <a:cs typeface="Calibri"/>
            </a:endParaRPr>
          </a:p>
        </xdr:txBody>
      </xdr:sp>
      <xdr:sp macro="" textlink="Processing!C29">
        <xdr:nvSpPr>
          <xdr:cNvPr id="164" name="TextBox 163">
            <a:extLst>
              <a:ext uri="{FF2B5EF4-FFF2-40B4-BE49-F238E27FC236}">
                <a16:creationId xmlns:a16="http://schemas.microsoft.com/office/drawing/2014/main" id="{00000000-0008-0000-0100-0000A4000000}"/>
              </a:ext>
            </a:extLst>
          </xdr:cNvPr>
          <xdr:cNvSpPr txBox="1"/>
        </xdr:nvSpPr>
        <xdr:spPr>
          <a:xfrm>
            <a:off x="10090952" y="2966622"/>
            <a:ext cx="695417" cy="221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87BDCE2-FDCF-4B02-AB30-0BC287104210}" type="TxLink">
              <a:rPr lang="en-US" sz="1200" b="1" i="0" u="none" strike="noStrike">
                <a:solidFill>
                  <a:srgbClr val="3399FF"/>
                </a:solidFill>
                <a:latin typeface="Calibri"/>
                <a:ea typeface="+mn-ea"/>
                <a:cs typeface="Calibri"/>
              </a:rPr>
              <a:pPr marL="0" indent="0" algn="ctr"/>
              <a:t>45K</a:t>
            </a:fld>
            <a:endParaRPr lang="en-US" sz="1200" b="1" i="0" u="none" strike="noStrike">
              <a:solidFill>
                <a:srgbClr val="3399FF"/>
              </a:solidFill>
              <a:latin typeface="Calibri"/>
              <a:ea typeface="+mn-ea"/>
              <a:cs typeface="Calibri"/>
            </a:endParaRPr>
          </a:p>
        </xdr:txBody>
      </xdr:sp>
      <xdr:sp macro="" textlink="Processing!C28">
        <xdr:nvSpPr>
          <xdr:cNvPr id="165" name="TextBox 164">
            <a:extLst>
              <a:ext uri="{FF2B5EF4-FFF2-40B4-BE49-F238E27FC236}">
                <a16:creationId xmlns:a16="http://schemas.microsoft.com/office/drawing/2014/main" id="{00000000-0008-0000-0100-0000A5000000}"/>
              </a:ext>
            </a:extLst>
          </xdr:cNvPr>
          <xdr:cNvSpPr txBox="1"/>
        </xdr:nvSpPr>
        <xdr:spPr>
          <a:xfrm>
            <a:off x="10090952" y="3269943"/>
            <a:ext cx="695417" cy="221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43E9ADC-57AE-432C-9BB5-F83CBDEDF0CE}" type="TxLink">
              <a:rPr lang="en-US" sz="1200" b="1" i="0" u="none" strike="noStrike">
                <a:solidFill>
                  <a:srgbClr val="3399FF"/>
                </a:solidFill>
                <a:latin typeface="Calibri"/>
                <a:ea typeface="+mn-ea"/>
                <a:cs typeface="Calibri"/>
              </a:rPr>
              <a:pPr marL="0" indent="0" algn="ctr"/>
              <a:t>20K</a:t>
            </a:fld>
            <a:endParaRPr lang="en-US" sz="1200" b="1" i="0" u="none" strike="noStrike">
              <a:solidFill>
                <a:srgbClr val="3399FF"/>
              </a:solidFill>
              <a:latin typeface="Calibri"/>
              <a:ea typeface="+mn-ea"/>
              <a:cs typeface="Calibri"/>
            </a:endParaRPr>
          </a:p>
        </xdr:txBody>
      </xdr:sp>
    </xdr:grpSp>
    <xdr:clientData/>
  </xdr:twoCellAnchor>
  <xdr:twoCellAnchor>
    <xdr:from>
      <xdr:col>17</xdr:col>
      <xdr:colOff>525262</xdr:colOff>
      <xdr:row>23</xdr:row>
      <xdr:rowOff>111306</xdr:rowOff>
    </xdr:from>
    <xdr:to>
      <xdr:col>22</xdr:col>
      <xdr:colOff>125767</xdr:colOff>
      <xdr:row>35</xdr:row>
      <xdr:rowOff>44387</xdr:rowOff>
    </xdr:to>
    <xdr:graphicFrame macro="">
      <xdr:nvGraphicFramePr>
        <xdr:cNvPr id="167" name="Chart 166">
          <a:extLst>
            <a:ext uri="{FF2B5EF4-FFF2-40B4-BE49-F238E27FC236}">
              <a16:creationId xmlns:a16="http://schemas.microsoft.com/office/drawing/2014/main" id="{00000000-0008-0000-0100-0000A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xdr:col>
      <xdr:colOff>451282</xdr:colOff>
      <xdr:row>10</xdr:row>
      <xdr:rowOff>177553</xdr:rowOff>
    </xdr:from>
    <xdr:to>
      <xdr:col>9</xdr:col>
      <xdr:colOff>358314</xdr:colOff>
      <xdr:row>21</xdr:row>
      <xdr:rowOff>147961</xdr:rowOff>
    </xdr:to>
    <xdr:graphicFrame macro="">
      <xdr:nvGraphicFramePr>
        <xdr:cNvPr id="170" name="Chart 169" hidden="1">
          <a:extLst>
            <a:ext uri="{FF2B5EF4-FFF2-40B4-BE49-F238E27FC236}">
              <a16:creationId xmlns:a16="http://schemas.microsoft.com/office/drawing/2014/main" id="{00000000-0008-0000-0100-0000A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9</xdr:col>
      <xdr:colOff>540058</xdr:colOff>
      <xdr:row>11</xdr:row>
      <xdr:rowOff>96175</xdr:rowOff>
    </xdr:from>
    <xdr:to>
      <xdr:col>15</xdr:col>
      <xdr:colOff>111858</xdr:colOff>
      <xdr:row>21</xdr:row>
      <xdr:rowOff>29491</xdr:rowOff>
    </xdr:to>
    <xdr:graphicFrame macro="">
      <xdr:nvGraphicFramePr>
        <xdr:cNvPr id="171" name="Chart 170">
          <a:extLst>
            <a:ext uri="{FF2B5EF4-FFF2-40B4-BE49-F238E27FC236}">
              <a16:creationId xmlns:a16="http://schemas.microsoft.com/office/drawing/2014/main" id="{00000000-0008-0000-0100-0000A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12</xdr:col>
      <xdr:colOff>44389</xdr:colOff>
      <xdr:row>11</xdr:row>
      <xdr:rowOff>140563</xdr:rowOff>
    </xdr:from>
    <xdr:to>
      <xdr:col>14</xdr:col>
      <xdr:colOff>554854</xdr:colOff>
      <xdr:row>21</xdr:row>
      <xdr:rowOff>14795</xdr:rowOff>
    </xdr:to>
    <xdr:sp macro="" textlink="">
      <xdr:nvSpPr>
        <xdr:cNvPr id="174" name="Circle: Hollow 173">
          <a:extLst>
            <a:ext uri="{FF2B5EF4-FFF2-40B4-BE49-F238E27FC236}">
              <a16:creationId xmlns:a16="http://schemas.microsoft.com/office/drawing/2014/main" id="{00000000-0008-0000-0100-0000AE000000}"/>
            </a:ext>
          </a:extLst>
        </xdr:cNvPr>
        <xdr:cNvSpPr/>
      </xdr:nvSpPr>
      <xdr:spPr>
        <a:xfrm>
          <a:off x="7324078" y="2175029"/>
          <a:ext cx="1723747" cy="1723747"/>
        </a:xfrm>
        <a:prstGeom prst="donut">
          <a:avLst>
            <a:gd name="adj" fmla="val 20179"/>
          </a:avLst>
        </a:prstGeom>
        <a:gradFill flip="none" rotWithShape="1">
          <a:gsLst>
            <a:gs pos="77000">
              <a:srgbClr val="0E133F"/>
            </a:gs>
            <a:gs pos="100000">
              <a:srgbClr val="060C2B"/>
            </a:gs>
            <a:gs pos="58000">
              <a:srgbClr val="050B29">
                <a:alpha val="0"/>
              </a:srgb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14</xdr:col>
      <xdr:colOff>44389</xdr:colOff>
      <xdr:row>23</xdr:row>
      <xdr:rowOff>88778</xdr:rowOff>
    </xdr:from>
    <xdr:to>
      <xdr:col>18</xdr:col>
      <xdr:colOff>391794</xdr:colOff>
      <xdr:row>32</xdr:row>
      <xdr:rowOff>88595</xdr:rowOff>
    </xdr:to>
    <xdr:graphicFrame macro="">
      <xdr:nvGraphicFramePr>
        <xdr:cNvPr id="178" name="Chart 177">
          <a:extLst>
            <a:ext uri="{FF2B5EF4-FFF2-40B4-BE49-F238E27FC236}">
              <a16:creationId xmlns:a16="http://schemas.microsoft.com/office/drawing/2014/main" id="{00000000-0008-0000-0100-0000B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15</xdr:col>
      <xdr:colOff>177668</xdr:colOff>
      <xdr:row>24</xdr:row>
      <xdr:rowOff>64478</xdr:rowOff>
    </xdr:from>
    <xdr:to>
      <xdr:col>17</xdr:col>
      <xdr:colOff>269632</xdr:colOff>
      <xdr:row>31</xdr:row>
      <xdr:rowOff>112235</xdr:rowOff>
    </xdr:to>
    <xdr:sp macro="" textlink="">
      <xdr:nvSpPr>
        <xdr:cNvPr id="179" name="Oval 178">
          <a:extLst>
            <a:ext uri="{FF2B5EF4-FFF2-40B4-BE49-F238E27FC236}">
              <a16:creationId xmlns:a16="http://schemas.microsoft.com/office/drawing/2014/main" id="{00000000-0008-0000-0100-0000B3000000}"/>
            </a:ext>
          </a:extLst>
        </xdr:cNvPr>
        <xdr:cNvSpPr/>
      </xdr:nvSpPr>
      <xdr:spPr>
        <a:xfrm>
          <a:off x="9321668" y="4425463"/>
          <a:ext cx="1311164" cy="1319710"/>
        </a:xfrm>
        <a:prstGeom prst="ellipse">
          <a:avLst/>
        </a:prstGeom>
        <a:noFill/>
        <a:ln w="12700">
          <a:gradFill>
            <a:gsLst>
              <a:gs pos="56600">
                <a:schemeClr val="bg1">
                  <a:alpha val="0"/>
                </a:schemeClr>
              </a:gs>
              <a:gs pos="100000">
                <a:schemeClr val="bg1"/>
              </a:gs>
              <a:gs pos="0">
                <a:schemeClr val="accent1">
                  <a:lumMod val="5000"/>
                  <a:lumOff val="95000"/>
                </a:schemeClr>
              </a:gs>
            </a:gsLst>
            <a:lin ang="0" scaled="0"/>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103575</xdr:colOff>
      <xdr:row>30</xdr:row>
      <xdr:rowOff>59521</xdr:rowOff>
    </xdr:from>
    <xdr:to>
      <xdr:col>13</xdr:col>
      <xdr:colOff>217875</xdr:colOff>
      <xdr:row>34</xdr:row>
      <xdr:rowOff>163093</xdr:rowOff>
    </xdr:to>
    <xdr:grpSp>
      <xdr:nvGrpSpPr>
        <xdr:cNvPr id="191" name="Group 190">
          <a:extLst>
            <a:ext uri="{FF2B5EF4-FFF2-40B4-BE49-F238E27FC236}">
              <a16:creationId xmlns:a16="http://schemas.microsoft.com/office/drawing/2014/main" id="{00000000-0008-0000-0100-0000BF000000}"/>
            </a:ext>
          </a:extLst>
        </xdr:cNvPr>
        <xdr:cNvGrpSpPr/>
      </xdr:nvGrpSpPr>
      <xdr:grpSpPr>
        <a:xfrm>
          <a:off x="7989905" y="5608065"/>
          <a:ext cx="114300" cy="843378"/>
          <a:chOff x="7982506" y="5016220"/>
          <a:chExt cx="114300" cy="843378"/>
        </a:xfrm>
      </xdr:grpSpPr>
      <xdr:sp macro="" textlink="">
        <xdr:nvSpPr>
          <xdr:cNvPr id="187" name="Oval 186">
            <a:extLst>
              <a:ext uri="{FF2B5EF4-FFF2-40B4-BE49-F238E27FC236}">
                <a16:creationId xmlns:a16="http://schemas.microsoft.com/office/drawing/2014/main" id="{00000000-0008-0000-0100-0000BB000000}"/>
              </a:ext>
            </a:extLst>
          </xdr:cNvPr>
          <xdr:cNvSpPr/>
        </xdr:nvSpPr>
        <xdr:spPr>
          <a:xfrm>
            <a:off x="7982506" y="5016220"/>
            <a:ext cx="114300" cy="114300"/>
          </a:xfrm>
          <a:prstGeom prst="ellipse">
            <a:avLst/>
          </a:prstGeom>
          <a:gradFill>
            <a:gsLst>
              <a:gs pos="0">
                <a:srgbClr val="E053FB"/>
              </a:gs>
              <a:gs pos="100000">
                <a:srgbClr val="7C74F5"/>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8" name="Oval 187">
            <a:extLst>
              <a:ext uri="{FF2B5EF4-FFF2-40B4-BE49-F238E27FC236}">
                <a16:creationId xmlns:a16="http://schemas.microsoft.com/office/drawing/2014/main" id="{00000000-0008-0000-0100-0000BC000000}"/>
              </a:ext>
            </a:extLst>
          </xdr:cNvPr>
          <xdr:cNvSpPr/>
        </xdr:nvSpPr>
        <xdr:spPr>
          <a:xfrm>
            <a:off x="7982506" y="5380759"/>
            <a:ext cx="114300" cy="114300"/>
          </a:xfrm>
          <a:prstGeom prst="ellipse">
            <a:avLst/>
          </a:prstGeom>
          <a:gradFill>
            <a:gsLst>
              <a:gs pos="0">
                <a:srgbClr val="6D8DF8"/>
              </a:gs>
              <a:gs pos="100000">
                <a:srgbClr val="2AF2F7"/>
              </a:gs>
            </a:gsLst>
            <a:lin ang="19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9" name="Oval 188">
            <a:extLst>
              <a:ext uri="{FF2B5EF4-FFF2-40B4-BE49-F238E27FC236}">
                <a16:creationId xmlns:a16="http://schemas.microsoft.com/office/drawing/2014/main" id="{00000000-0008-0000-0100-0000BD000000}"/>
              </a:ext>
            </a:extLst>
          </xdr:cNvPr>
          <xdr:cNvSpPr/>
        </xdr:nvSpPr>
        <xdr:spPr>
          <a:xfrm>
            <a:off x="7982506" y="5745298"/>
            <a:ext cx="114300" cy="114300"/>
          </a:xfrm>
          <a:prstGeom prst="ellipse">
            <a:avLst/>
          </a:prstGeom>
          <a:gradFill>
            <a:gsLst>
              <a:gs pos="0">
                <a:srgbClr val="FE02CE"/>
              </a:gs>
              <a:gs pos="100000">
                <a:srgbClr val="B335B9"/>
              </a:gs>
            </a:gsLst>
            <a:lin ang="12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13</xdr:col>
      <xdr:colOff>155361</xdr:colOff>
      <xdr:row>29</xdr:row>
      <xdr:rowOff>162758</xdr:rowOff>
    </xdr:from>
    <xdr:to>
      <xdr:col>14</xdr:col>
      <xdr:colOff>429089</xdr:colOff>
      <xdr:row>31</xdr:row>
      <xdr:rowOff>51787</xdr:rowOff>
    </xdr:to>
    <xdr:sp macro="" textlink="Processing!A44">
      <xdr:nvSpPr>
        <xdr:cNvPr id="192" name="TextBox 191">
          <a:extLst>
            <a:ext uri="{FF2B5EF4-FFF2-40B4-BE49-F238E27FC236}">
              <a16:creationId xmlns:a16="http://schemas.microsoft.com/office/drawing/2014/main" id="{00000000-0008-0000-0100-0000C0000000}"/>
            </a:ext>
          </a:extLst>
        </xdr:cNvPr>
        <xdr:cNvSpPr txBox="1"/>
      </xdr:nvSpPr>
      <xdr:spPr>
        <a:xfrm>
          <a:off x="8041691" y="5526350"/>
          <a:ext cx="880369" cy="258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411191-E1DF-46B9-9210-C908E9991D61}" type="TxLink">
            <a:rPr lang="en-US" sz="1100" b="0" i="0" u="none" strike="noStrike">
              <a:solidFill>
                <a:srgbClr val="B79DF6"/>
              </a:solidFill>
              <a:latin typeface="Calibri"/>
              <a:cs typeface="Calibri"/>
            </a:rPr>
            <a:pPr/>
            <a:t>Electronics</a:t>
          </a:fld>
          <a:endParaRPr lang="en-US" sz="1100">
            <a:solidFill>
              <a:srgbClr val="B79DF6"/>
            </a:solidFill>
          </a:endParaRPr>
        </a:p>
      </xdr:txBody>
    </xdr:sp>
    <xdr:clientData/>
  </xdr:twoCellAnchor>
  <xdr:twoCellAnchor>
    <xdr:from>
      <xdr:col>13</xdr:col>
      <xdr:colOff>155361</xdr:colOff>
      <xdr:row>31</xdr:row>
      <xdr:rowOff>162758</xdr:rowOff>
    </xdr:from>
    <xdr:to>
      <xdr:col>14</xdr:col>
      <xdr:colOff>429089</xdr:colOff>
      <xdr:row>33</xdr:row>
      <xdr:rowOff>51787</xdr:rowOff>
    </xdr:to>
    <xdr:sp macro="" textlink="Processing!A45">
      <xdr:nvSpPr>
        <xdr:cNvPr id="193" name="TextBox 192">
          <a:extLst>
            <a:ext uri="{FF2B5EF4-FFF2-40B4-BE49-F238E27FC236}">
              <a16:creationId xmlns:a16="http://schemas.microsoft.com/office/drawing/2014/main" id="{00000000-0008-0000-0100-0000C1000000}"/>
            </a:ext>
          </a:extLst>
        </xdr:cNvPr>
        <xdr:cNvSpPr txBox="1"/>
      </xdr:nvSpPr>
      <xdr:spPr>
        <a:xfrm>
          <a:off x="8041691" y="5896253"/>
          <a:ext cx="880369" cy="258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B1A3E4C-28D3-45D5-988E-E0A80C37C3DA}" type="TxLink">
            <a:rPr lang="en-US" sz="1100" b="0" i="0" u="none" strike="noStrike">
              <a:solidFill>
                <a:srgbClr val="B79DF6"/>
              </a:solidFill>
              <a:latin typeface="Calibri"/>
              <a:ea typeface="+mn-ea"/>
              <a:cs typeface="Calibri"/>
            </a:rPr>
            <a:pPr marL="0" indent="0"/>
            <a:t>Fashion</a:t>
          </a:fld>
          <a:endParaRPr lang="en-US" sz="1100" b="0" i="0" u="none" strike="noStrike">
            <a:solidFill>
              <a:srgbClr val="B79DF6"/>
            </a:solidFill>
            <a:latin typeface="Calibri"/>
            <a:ea typeface="+mn-ea"/>
            <a:cs typeface="Calibri"/>
          </a:endParaRPr>
        </a:p>
      </xdr:txBody>
    </xdr:sp>
    <xdr:clientData/>
  </xdr:twoCellAnchor>
  <xdr:twoCellAnchor>
    <xdr:from>
      <xdr:col>13</xdr:col>
      <xdr:colOff>155361</xdr:colOff>
      <xdr:row>33</xdr:row>
      <xdr:rowOff>162758</xdr:rowOff>
    </xdr:from>
    <xdr:to>
      <xdr:col>15</xdr:col>
      <xdr:colOff>140564</xdr:colOff>
      <xdr:row>35</xdr:row>
      <xdr:rowOff>51787</xdr:rowOff>
    </xdr:to>
    <xdr:sp macro="" textlink="Processing!A46">
      <xdr:nvSpPr>
        <xdr:cNvPr id="194" name="TextBox 193">
          <a:extLst>
            <a:ext uri="{FF2B5EF4-FFF2-40B4-BE49-F238E27FC236}">
              <a16:creationId xmlns:a16="http://schemas.microsoft.com/office/drawing/2014/main" id="{00000000-0008-0000-0100-0000C2000000}"/>
            </a:ext>
          </a:extLst>
        </xdr:cNvPr>
        <xdr:cNvSpPr txBox="1"/>
      </xdr:nvSpPr>
      <xdr:spPr>
        <a:xfrm>
          <a:off x="8041691" y="6266156"/>
          <a:ext cx="1198485" cy="258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D29FB65-5F85-4BCF-8D49-E226E07D9BFA}" type="TxLink">
            <a:rPr lang="en-US" sz="1100" b="0" i="0" u="none" strike="noStrike">
              <a:solidFill>
                <a:srgbClr val="B79DF6"/>
              </a:solidFill>
              <a:latin typeface="Calibri"/>
              <a:ea typeface="+mn-ea"/>
              <a:cs typeface="Calibri"/>
            </a:rPr>
            <a:pPr marL="0" indent="0"/>
            <a:t>Health &amp; Fitness</a:t>
          </a:fld>
          <a:endParaRPr lang="en-US" sz="1100" b="0" i="0" u="none" strike="noStrike">
            <a:solidFill>
              <a:srgbClr val="B79DF6"/>
            </a:solidFill>
            <a:latin typeface="Calibri"/>
            <a:ea typeface="+mn-ea"/>
            <a:cs typeface="Calibri"/>
          </a:endParaRPr>
        </a:p>
      </xdr:txBody>
    </xdr:sp>
    <xdr:clientData/>
  </xdr:twoCellAnchor>
  <xdr:twoCellAnchor>
    <xdr:from>
      <xdr:col>4</xdr:col>
      <xdr:colOff>162758</xdr:colOff>
      <xdr:row>22</xdr:row>
      <xdr:rowOff>147962</xdr:rowOff>
    </xdr:from>
    <xdr:to>
      <xdr:col>5</xdr:col>
      <xdr:colOff>436486</xdr:colOff>
      <xdr:row>24</xdr:row>
      <xdr:rowOff>36991</xdr:rowOff>
    </xdr:to>
    <xdr:sp macro="" textlink="">
      <xdr:nvSpPr>
        <xdr:cNvPr id="202" name="TextBox 201">
          <a:extLst>
            <a:ext uri="{FF2B5EF4-FFF2-40B4-BE49-F238E27FC236}">
              <a16:creationId xmlns:a16="http://schemas.microsoft.com/office/drawing/2014/main" id="{00000000-0008-0000-0100-0000CA000000}"/>
            </a:ext>
          </a:extLst>
        </xdr:cNvPr>
        <xdr:cNvSpPr txBox="1"/>
      </xdr:nvSpPr>
      <xdr:spPr>
        <a:xfrm>
          <a:off x="2589321" y="4216894"/>
          <a:ext cx="880369" cy="258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l"/>
          <a:r>
            <a:rPr lang="en-US" sz="1100" b="0" i="0" u="none" strike="noStrike">
              <a:solidFill>
                <a:srgbClr val="2C96C6"/>
              </a:solidFill>
              <a:latin typeface="Lato" panose="020F0502020204030203" pitchFamily="34" charset="0"/>
              <a:ea typeface="+mn-ea"/>
              <a:cs typeface="Calibri"/>
            </a:rPr>
            <a:t>2023</a:t>
          </a:r>
        </a:p>
      </xdr:txBody>
    </xdr:sp>
    <xdr:clientData/>
  </xdr:twoCellAnchor>
  <xdr:twoCellAnchor>
    <xdr:from>
      <xdr:col>14</xdr:col>
      <xdr:colOff>266331</xdr:colOff>
      <xdr:row>29</xdr:row>
      <xdr:rowOff>140564</xdr:rowOff>
    </xdr:from>
    <xdr:to>
      <xdr:col>15</xdr:col>
      <xdr:colOff>540059</xdr:colOff>
      <xdr:row>31</xdr:row>
      <xdr:rowOff>29593</xdr:rowOff>
    </xdr:to>
    <xdr:sp macro="" textlink="Processing!B44">
      <xdr:nvSpPr>
        <xdr:cNvPr id="198" name="TextBox 197">
          <a:extLst>
            <a:ext uri="{FF2B5EF4-FFF2-40B4-BE49-F238E27FC236}">
              <a16:creationId xmlns:a16="http://schemas.microsoft.com/office/drawing/2014/main" id="{00000000-0008-0000-0100-0000C6000000}"/>
            </a:ext>
          </a:extLst>
        </xdr:cNvPr>
        <xdr:cNvSpPr txBox="1"/>
      </xdr:nvSpPr>
      <xdr:spPr>
        <a:xfrm>
          <a:off x="8759302" y="5504156"/>
          <a:ext cx="880369" cy="258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E886745-CD7C-4F37-90D0-7EB565A192BE}" type="TxLink">
            <a:rPr lang="en-US" sz="1400" b="0" i="0" u="none" strike="noStrike">
              <a:solidFill>
                <a:srgbClr val="2C96C6"/>
              </a:solidFill>
              <a:latin typeface="Lato" panose="020F0502020204030203" pitchFamily="34" charset="0"/>
              <a:ea typeface="+mn-ea"/>
              <a:cs typeface="Calibri"/>
            </a:rPr>
            <a:pPr marL="0" indent="0"/>
            <a:t>15.1M</a:t>
          </a:fld>
          <a:endParaRPr lang="en-US" sz="1400" b="0" i="0" u="none" strike="noStrike">
            <a:solidFill>
              <a:srgbClr val="2C96C6"/>
            </a:solidFill>
            <a:latin typeface="Lato" panose="020F0502020204030203" pitchFamily="34" charset="0"/>
            <a:ea typeface="+mn-ea"/>
            <a:cs typeface="Calibri"/>
          </a:endParaRPr>
        </a:p>
      </xdr:txBody>
    </xdr:sp>
    <xdr:clientData/>
  </xdr:twoCellAnchor>
  <xdr:twoCellAnchor>
    <xdr:from>
      <xdr:col>14</xdr:col>
      <xdr:colOff>266331</xdr:colOff>
      <xdr:row>31</xdr:row>
      <xdr:rowOff>140564</xdr:rowOff>
    </xdr:from>
    <xdr:to>
      <xdr:col>15</xdr:col>
      <xdr:colOff>540059</xdr:colOff>
      <xdr:row>33</xdr:row>
      <xdr:rowOff>29593</xdr:rowOff>
    </xdr:to>
    <xdr:sp macro="" textlink="Processing!B45">
      <xdr:nvSpPr>
        <xdr:cNvPr id="199" name="TextBox 198">
          <a:extLst>
            <a:ext uri="{FF2B5EF4-FFF2-40B4-BE49-F238E27FC236}">
              <a16:creationId xmlns:a16="http://schemas.microsoft.com/office/drawing/2014/main" id="{00000000-0008-0000-0100-0000C7000000}"/>
            </a:ext>
          </a:extLst>
        </xdr:cNvPr>
        <xdr:cNvSpPr txBox="1"/>
      </xdr:nvSpPr>
      <xdr:spPr>
        <a:xfrm>
          <a:off x="8759302" y="5874059"/>
          <a:ext cx="880369" cy="258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40CB8F6-D4AD-4248-90C2-6049858D34B1}" type="TxLink">
            <a:rPr lang="en-US" sz="1400" b="0" i="0" u="none" strike="noStrike">
              <a:solidFill>
                <a:srgbClr val="2C96C6"/>
              </a:solidFill>
              <a:latin typeface="Lato" panose="020F0502020204030203" pitchFamily="34" charset="0"/>
              <a:ea typeface="+mn-ea"/>
              <a:cs typeface="Calibri"/>
            </a:rPr>
            <a:pPr marL="0" indent="0"/>
            <a:t>12.2M</a:t>
          </a:fld>
          <a:endParaRPr lang="en-US" sz="1400" b="0" i="0" u="none" strike="noStrike">
            <a:solidFill>
              <a:srgbClr val="2C96C6"/>
            </a:solidFill>
            <a:latin typeface="Lato" panose="020F0502020204030203" pitchFamily="34" charset="0"/>
            <a:ea typeface="+mn-ea"/>
            <a:cs typeface="Calibri"/>
          </a:endParaRPr>
        </a:p>
      </xdr:txBody>
    </xdr:sp>
    <xdr:clientData/>
  </xdr:twoCellAnchor>
  <mc:AlternateContent xmlns:mc="http://schemas.openxmlformats.org/markup-compatibility/2006">
    <mc:Choice xmlns:a14="http://schemas.microsoft.com/office/drawing/2010/main" Requires="a14">
      <xdr:twoCellAnchor editAs="oneCell">
        <xdr:from>
          <xdr:col>4</xdr:col>
          <xdr:colOff>60960</xdr:colOff>
          <xdr:row>22</xdr:row>
          <xdr:rowOff>160020</xdr:rowOff>
        </xdr:from>
        <xdr:to>
          <xdr:col>5</xdr:col>
          <xdr:colOff>7620</xdr:colOff>
          <xdr:row>24</xdr:row>
          <xdr:rowOff>15240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xdr:col>
      <xdr:colOff>93619</xdr:colOff>
      <xdr:row>23</xdr:row>
      <xdr:rowOff>8709</xdr:rowOff>
    </xdr:from>
    <xdr:to>
      <xdr:col>4</xdr:col>
      <xdr:colOff>241665</xdr:colOff>
      <xdr:row>23</xdr:row>
      <xdr:rowOff>161109</xdr:rowOff>
    </xdr:to>
    <xdr:sp macro="" textlink="">
      <xdr:nvSpPr>
        <xdr:cNvPr id="207" name="Rectangle 206">
          <a:extLst>
            <a:ext uri="{FF2B5EF4-FFF2-40B4-BE49-F238E27FC236}">
              <a16:creationId xmlns:a16="http://schemas.microsoft.com/office/drawing/2014/main" id="{00000000-0008-0000-0100-0000CF000000}"/>
            </a:ext>
          </a:extLst>
        </xdr:cNvPr>
        <xdr:cNvSpPr/>
      </xdr:nvSpPr>
      <xdr:spPr>
        <a:xfrm>
          <a:off x="2532019" y="4214949"/>
          <a:ext cx="148046" cy="152400"/>
        </a:xfrm>
        <a:prstGeom prst="rect">
          <a:avLst/>
        </a:prstGeom>
        <a:solidFill>
          <a:srgbClr val="0E133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569652</xdr:colOff>
      <xdr:row>33</xdr:row>
      <xdr:rowOff>140564</xdr:rowOff>
    </xdr:from>
    <xdr:to>
      <xdr:col>16</xdr:col>
      <xdr:colOff>554856</xdr:colOff>
      <xdr:row>35</xdr:row>
      <xdr:rowOff>29593</xdr:rowOff>
    </xdr:to>
    <xdr:sp macro="" textlink="Processing!B46">
      <xdr:nvSpPr>
        <xdr:cNvPr id="200" name="TextBox 199">
          <a:extLst>
            <a:ext uri="{FF2B5EF4-FFF2-40B4-BE49-F238E27FC236}">
              <a16:creationId xmlns:a16="http://schemas.microsoft.com/office/drawing/2014/main" id="{00000000-0008-0000-0100-0000C8000000}"/>
            </a:ext>
          </a:extLst>
        </xdr:cNvPr>
        <xdr:cNvSpPr txBox="1"/>
      </xdr:nvSpPr>
      <xdr:spPr>
        <a:xfrm>
          <a:off x="9062623" y="6243962"/>
          <a:ext cx="1198485" cy="258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74FF889-79C7-49B8-93E5-A168F496CCFE}" type="TxLink">
            <a:rPr lang="en-US" sz="1400" b="0" i="0" u="none" strike="noStrike">
              <a:solidFill>
                <a:srgbClr val="2C96C6"/>
              </a:solidFill>
              <a:latin typeface="Lato" panose="020F0502020204030203" pitchFamily="34" charset="0"/>
              <a:ea typeface="+mn-ea"/>
              <a:cs typeface="Calibri"/>
            </a:rPr>
            <a:pPr marL="0" indent="0"/>
            <a:t>6.3M</a:t>
          </a:fld>
          <a:endParaRPr lang="en-US" sz="1400" b="0" i="0" u="none" strike="noStrike">
            <a:solidFill>
              <a:srgbClr val="2C96C6"/>
            </a:solidFill>
            <a:latin typeface="Lato" panose="020F0502020204030203" pitchFamily="34" charset="0"/>
            <a:ea typeface="+mn-ea"/>
            <a:cs typeface="Calibri"/>
          </a:endParaRPr>
        </a:p>
      </xdr:txBody>
    </xdr:sp>
    <xdr:clientData/>
  </xdr:twoCellAnchor>
  <xdr:twoCellAnchor>
    <xdr:from>
      <xdr:col>4</xdr:col>
      <xdr:colOff>117057</xdr:colOff>
      <xdr:row>23</xdr:row>
      <xdr:rowOff>43079</xdr:rowOff>
    </xdr:from>
    <xdr:to>
      <xdr:col>4</xdr:col>
      <xdr:colOff>224245</xdr:colOff>
      <xdr:row>23</xdr:row>
      <xdr:rowOff>150267</xdr:rowOff>
    </xdr:to>
    <xdr:sp macro="" textlink="">
      <xdr:nvSpPr>
        <xdr:cNvPr id="201" name="Oval 200">
          <a:extLst>
            <a:ext uri="{FF2B5EF4-FFF2-40B4-BE49-F238E27FC236}">
              <a16:creationId xmlns:a16="http://schemas.microsoft.com/office/drawing/2014/main" id="{00000000-0008-0000-0100-0000C9000000}"/>
            </a:ext>
          </a:extLst>
        </xdr:cNvPr>
        <xdr:cNvSpPr/>
      </xdr:nvSpPr>
      <xdr:spPr>
        <a:xfrm>
          <a:off x="2555457" y="4249319"/>
          <a:ext cx="107188" cy="107188"/>
        </a:xfrm>
        <a:prstGeom prst="ellipse">
          <a:avLst/>
        </a:prstGeom>
        <a:solidFill>
          <a:srgbClr val="3399FF"/>
        </a:solidFill>
        <a:ln>
          <a:solidFill>
            <a:srgbClr val="3399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516386</xdr:colOff>
      <xdr:row>22</xdr:row>
      <xdr:rowOff>87525</xdr:rowOff>
    </xdr:from>
    <xdr:to>
      <xdr:col>6</xdr:col>
      <xdr:colOff>210105</xdr:colOff>
      <xdr:row>24</xdr:row>
      <xdr:rowOff>57933</xdr:rowOff>
    </xdr:to>
    <xdr:sp macro="" textlink="Processing!D23">
      <xdr:nvSpPr>
        <xdr:cNvPr id="203" name="TextBox 202">
          <a:extLst>
            <a:ext uri="{FF2B5EF4-FFF2-40B4-BE49-F238E27FC236}">
              <a16:creationId xmlns:a16="http://schemas.microsoft.com/office/drawing/2014/main" id="{00000000-0008-0000-0100-0000CB000000}"/>
            </a:ext>
          </a:extLst>
        </xdr:cNvPr>
        <xdr:cNvSpPr txBox="1"/>
      </xdr:nvSpPr>
      <xdr:spPr>
        <a:xfrm>
          <a:off x="2954786" y="4085094"/>
          <a:ext cx="912919" cy="333824"/>
        </a:xfrm>
        <a:prstGeom prst="rect">
          <a:avLst/>
        </a:prstGeom>
      </xdr:spPr>
      <xdr:txBody>
        <a:bodyPr vertOverflow="clip" wrap="square" rtlCol="0"/>
        <a:lstStyle/>
        <a:p>
          <a:pPr marL="0" indent="0"/>
          <a:fld id="{8E2D9D0D-5406-424F-A2C6-2568F8A5E20D}" type="TxLink">
            <a:rPr lang="en-US" sz="1800" b="1" i="0" u="none" strike="noStrike">
              <a:solidFill>
                <a:schemeClr val="bg1"/>
              </a:solidFill>
              <a:latin typeface="Lato" panose="020F0502020204030203" pitchFamily="34" charset="0"/>
              <a:ea typeface="+mn-ea"/>
              <a:cs typeface="Calibri"/>
            </a:rPr>
            <a:pPr marL="0" indent="0"/>
            <a:t>13.5M</a:t>
          </a:fld>
          <a:endParaRPr lang="en-US" sz="1800" b="1" i="0" u="none" strike="noStrike">
            <a:solidFill>
              <a:schemeClr val="bg1"/>
            </a:solidFill>
            <a:latin typeface="Lato" panose="020F0502020204030203" pitchFamily="34" charset="0"/>
            <a:ea typeface="+mn-ea"/>
            <a:cs typeface="Calibri"/>
          </a:endParaRPr>
        </a:p>
      </xdr:txBody>
    </xdr:sp>
    <xdr:clientData/>
  </xdr:twoCellAnchor>
  <xdr:twoCellAnchor>
    <xdr:from>
      <xdr:col>10</xdr:col>
      <xdr:colOff>221940</xdr:colOff>
      <xdr:row>23</xdr:row>
      <xdr:rowOff>51787</xdr:rowOff>
    </xdr:from>
    <xdr:to>
      <xdr:col>10</xdr:col>
      <xdr:colOff>318115</xdr:colOff>
      <xdr:row>23</xdr:row>
      <xdr:rowOff>147962</xdr:rowOff>
    </xdr:to>
    <xdr:sp macro="" textlink="">
      <xdr:nvSpPr>
        <xdr:cNvPr id="204" name="Oval 203">
          <a:extLst>
            <a:ext uri="{FF2B5EF4-FFF2-40B4-BE49-F238E27FC236}">
              <a16:creationId xmlns:a16="http://schemas.microsoft.com/office/drawing/2014/main" id="{00000000-0008-0000-0100-0000CC000000}"/>
            </a:ext>
          </a:extLst>
        </xdr:cNvPr>
        <xdr:cNvSpPr/>
      </xdr:nvSpPr>
      <xdr:spPr>
        <a:xfrm>
          <a:off x="6288348" y="4305670"/>
          <a:ext cx="96175" cy="96175"/>
        </a:xfrm>
        <a:prstGeom prst="ellipse">
          <a:avLst/>
        </a:prstGeom>
        <a:solidFill>
          <a:srgbClr val="8F72FF">
            <a:alpha val="52941"/>
          </a:srgbClr>
        </a:solidFill>
        <a:ln>
          <a:solidFill>
            <a:srgbClr val="8F72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258932</xdr:colOff>
      <xdr:row>22</xdr:row>
      <xdr:rowOff>147962</xdr:rowOff>
    </xdr:from>
    <xdr:to>
      <xdr:col>11</xdr:col>
      <xdr:colOff>532660</xdr:colOff>
      <xdr:row>24</xdr:row>
      <xdr:rowOff>36991</xdr:rowOff>
    </xdr:to>
    <xdr:sp macro="" textlink="">
      <xdr:nvSpPr>
        <xdr:cNvPr id="205" name="TextBox 204">
          <a:extLst>
            <a:ext uri="{FF2B5EF4-FFF2-40B4-BE49-F238E27FC236}">
              <a16:creationId xmlns:a16="http://schemas.microsoft.com/office/drawing/2014/main" id="{00000000-0008-0000-0100-0000CD000000}"/>
            </a:ext>
          </a:extLst>
        </xdr:cNvPr>
        <xdr:cNvSpPr txBox="1"/>
      </xdr:nvSpPr>
      <xdr:spPr>
        <a:xfrm>
          <a:off x="6325340" y="4216894"/>
          <a:ext cx="880369" cy="258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l"/>
          <a:r>
            <a:rPr lang="en-US" sz="1100" b="0" i="0" u="none" strike="noStrike">
              <a:solidFill>
                <a:srgbClr val="8F72FF"/>
              </a:solidFill>
              <a:latin typeface="Lato" panose="020F0502020204030203" pitchFamily="34" charset="0"/>
              <a:ea typeface="+mn-ea"/>
              <a:cs typeface="Calibri"/>
            </a:rPr>
            <a:t>2024</a:t>
          </a:r>
        </a:p>
      </xdr:txBody>
    </xdr:sp>
    <xdr:clientData/>
  </xdr:twoCellAnchor>
  <xdr:twoCellAnchor>
    <xdr:from>
      <xdr:col>11</xdr:col>
      <xdr:colOff>33235</xdr:colOff>
      <xdr:row>22</xdr:row>
      <xdr:rowOff>87525</xdr:rowOff>
    </xdr:from>
    <xdr:to>
      <xdr:col>12</xdr:col>
      <xdr:colOff>336555</xdr:colOff>
      <xdr:row>24</xdr:row>
      <xdr:rowOff>57933</xdr:rowOff>
    </xdr:to>
    <xdr:sp macro="" textlink="Processing!C23">
      <xdr:nvSpPr>
        <xdr:cNvPr id="206" name="TextBox 205">
          <a:extLst>
            <a:ext uri="{FF2B5EF4-FFF2-40B4-BE49-F238E27FC236}">
              <a16:creationId xmlns:a16="http://schemas.microsoft.com/office/drawing/2014/main" id="{00000000-0008-0000-0100-0000CE000000}"/>
            </a:ext>
          </a:extLst>
        </xdr:cNvPr>
        <xdr:cNvSpPr txBox="1"/>
      </xdr:nvSpPr>
      <xdr:spPr>
        <a:xfrm>
          <a:off x="6738835" y="4085094"/>
          <a:ext cx="912920" cy="333824"/>
        </a:xfrm>
        <a:prstGeom prst="rect">
          <a:avLst/>
        </a:prstGeom>
      </xdr:spPr>
      <xdr:txBody>
        <a:bodyPr vertOverflow="clip" wrap="square" rtlCol="0"/>
        <a:lstStyle/>
        <a:p>
          <a:pPr marL="0" indent="0"/>
          <a:fld id="{A1AD856B-C0C8-4313-B4C3-D38C7EB507EA}" type="TxLink">
            <a:rPr lang="en-US" sz="1800" b="1" i="0" u="none" strike="noStrike">
              <a:solidFill>
                <a:schemeClr val="bg1"/>
              </a:solidFill>
              <a:latin typeface="Lato" panose="020F0502020204030203" pitchFamily="34" charset="0"/>
              <a:ea typeface="+mn-ea"/>
              <a:cs typeface="Calibri"/>
            </a:rPr>
            <a:pPr marL="0" indent="0"/>
            <a:t>20.1M</a:t>
          </a:fld>
          <a:endParaRPr lang="en-US" sz="1800" b="1" i="0" u="none" strike="noStrike">
            <a:solidFill>
              <a:schemeClr val="bg1"/>
            </a:solidFill>
            <a:latin typeface="Lato" panose="020F0502020204030203" pitchFamily="34" charset="0"/>
            <a:ea typeface="+mn-ea"/>
            <a:cs typeface="Calibri"/>
          </a:endParaRPr>
        </a:p>
      </xdr:txBody>
    </xdr:sp>
    <xdr:clientData/>
  </xdr:twoCellAnchor>
  <xdr:twoCellAnchor>
    <xdr:from>
      <xdr:col>5</xdr:col>
      <xdr:colOff>322387</xdr:colOff>
      <xdr:row>9</xdr:row>
      <xdr:rowOff>171469</xdr:rowOff>
    </xdr:from>
    <xdr:to>
      <xdr:col>8</xdr:col>
      <xdr:colOff>128955</xdr:colOff>
      <xdr:row>11</xdr:row>
      <xdr:rowOff>67133</xdr:rowOff>
    </xdr:to>
    <xdr:sp macro="" textlink="Pivot!B72">
      <xdr:nvSpPr>
        <xdr:cNvPr id="208" name="TextBox 207">
          <a:extLst>
            <a:ext uri="{FF2B5EF4-FFF2-40B4-BE49-F238E27FC236}">
              <a16:creationId xmlns:a16="http://schemas.microsoft.com/office/drawing/2014/main" id="{00000000-0008-0000-0100-0000D0000000}"/>
            </a:ext>
          </a:extLst>
        </xdr:cNvPr>
        <xdr:cNvSpPr txBox="1"/>
      </xdr:nvSpPr>
      <xdr:spPr>
        <a:xfrm>
          <a:off x="3370387" y="1806838"/>
          <a:ext cx="1635368"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A5B0-181E-40DA-AA5A-53544B749DD4}" type="TxLink">
            <a:rPr lang="en-US" sz="1200" b="1" i="0" u="none" strike="noStrike">
              <a:solidFill>
                <a:srgbClr val="DCDDE8"/>
              </a:solidFill>
              <a:latin typeface="Mangal Pro" panose="00000500000000000000" pitchFamily="2" charset="0"/>
              <a:ea typeface="+mn-ea"/>
              <a:cs typeface="Mangal Pro" panose="00000500000000000000" pitchFamily="2" charset="0"/>
            </a:rPr>
            <a:pPr marL="0" indent="0" algn="l"/>
            <a:t>ROI by Campaign</a:t>
          </a:fld>
          <a:endParaRPr lang="ru-RU" sz="1200" b="1" i="0" u="none" strike="noStrike">
            <a:solidFill>
              <a:srgbClr val="DCDDE8"/>
            </a:solidFill>
            <a:latin typeface="Mangal Pro" panose="00000500000000000000" pitchFamily="2" charset="0"/>
            <a:ea typeface="+mn-ea"/>
            <a:cs typeface="Mangal Pro" panose="00000500000000000000" pitchFamily="2" charset="0"/>
          </a:endParaRPr>
        </a:p>
      </xdr:txBody>
    </xdr:sp>
    <xdr:clientData/>
  </xdr:twoCellAnchor>
  <xdr:twoCellAnchor>
    <xdr:from>
      <xdr:col>9</xdr:col>
      <xdr:colOff>512892</xdr:colOff>
      <xdr:row>9</xdr:row>
      <xdr:rowOff>171469</xdr:rowOff>
    </xdr:from>
    <xdr:to>
      <xdr:col>12</xdr:col>
      <xdr:colOff>504092</xdr:colOff>
      <xdr:row>11</xdr:row>
      <xdr:rowOff>67133</xdr:rowOff>
    </xdr:to>
    <xdr:sp macro="" textlink="Pivot!B88">
      <xdr:nvSpPr>
        <xdr:cNvPr id="209" name="TextBox 208">
          <a:extLst>
            <a:ext uri="{FF2B5EF4-FFF2-40B4-BE49-F238E27FC236}">
              <a16:creationId xmlns:a16="http://schemas.microsoft.com/office/drawing/2014/main" id="{00000000-0008-0000-0100-0000D1000000}"/>
            </a:ext>
          </a:extLst>
        </xdr:cNvPr>
        <xdr:cNvSpPr txBox="1"/>
      </xdr:nvSpPr>
      <xdr:spPr>
        <a:xfrm>
          <a:off x="5999292" y="1806838"/>
          <a:ext cx="18200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6730EF2-E20A-4EC7-96E4-8F9C99965AC2}" type="TxLink">
            <a:rPr lang="en-US" sz="1200" b="1" i="0" u="none" strike="noStrike">
              <a:solidFill>
                <a:srgbClr val="DCDDE8"/>
              </a:solidFill>
              <a:latin typeface="Mangal Pro" panose="00000500000000000000" pitchFamily="2" charset="0"/>
              <a:ea typeface="+mn-ea"/>
              <a:cs typeface="Mangal Pro" panose="00000500000000000000" pitchFamily="2" charset="0"/>
            </a:rPr>
            <a:pPr marL="0" indent="0" algn="l"/>
            <a:t>Revenue by Region</a:t>
          </a:fld>
          <a:endParaRPr lang="ru-RU" sz="1200" b="1" i="0" u="none" strike="noStrike">
            <a:solidFill>
              <a:srgbClr val="DCDDE8"/>
            </a:solidFill>
            <a:latin typeface="Mangal Pro" panose="00000500000000000000" pitchFamily="2" charset="0"/>
            <a:ea typeface="+mn-ea"/>
            <a:cs typeface="Mangal Pro" panose="00000500000000000000" pitchFamily="2" charset="0"/>
          </a:endParaRPr>
        </a:p>
      </xdr:txBody>
    </xdr:sp>
    <xdr:clientData/>
  </xdr:twoCellAnchor>
  <xdr:twoCellAnchor>
    <xdr:from>
      <xdr:col>6</xdr:col>
      <xdr:colOff>363415</xdr:colOff>
      <xdr:row>22</xdr:row>
      <xdr:rowOff>142161</xdr:rowOff>
    </xdr:from>
    <xdr:to>
      <xdr:col>9</xdr:col>
      <xdr:colOff>562708</xdr:colOff>
      <xdr:row>24</xdr:row>
      <xdr:rowOff>37825</xdr:rowOff>
    </xdr:to>
    <xdr:sp macro="" textlink="">
      <xdr:nvSpPr>
        <xdr:cNvPr id="211" name="TextBox 210">
          <a:extLst>
            <a:ext uri="{FF2B5EF4-FFF2-40B4-BE49-F238E27FC236}">
              <a16:creationId xmlns:a16="http://schemas.microsoft.com/office/drawing/2014/main" id="{00000000-0008-0000-0100-0000D3000000}"/>
            </a:ext>
          </a:extLst>
        </xdr:cNvPr>
        <xdr:cNvSpPr txBox="1"/>
      </xdr:nvSpPr>
      <xdr:spPr>
        <a:xfrm>
          <a:off x="4021015" y="4139730"/>
          <a:ext cx="202809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rtl="0" eaLnBrk="1" latinLnBrk="0" hangingPunct="1"/>
          <a:r>
            <a:rPr lang="en-US" sz="1200" b="1" i="0" u="none" strike="noStrike">
              <a:solidFill>
                <a:srgbClr val="DCDDE8"/>
              </a:solidFill>
              <a:latin typeface="Mangal Pro" panose="00000500000000000000" pitchFamily="2" charset="0"/>
              <a:ea typeface="+mn-ea"/>
              <a:cs typeface="Mangal Pro" panose="00000500000000000000" pitchFamily="2" charset="0"/>
            </a:rPr>
            <a:t>Monthly Revenue Trend</a:t>
          </a:r>
        </a:p>
      </xdr:txBody>
    </xdr:sp>
    <xdr:clientData/>
  </xdr:twoCellAnchor>
  <xdr:twoCellAnchor>
    <xdr:from>
      <xdr:col>13</xdr:col>
      <xdr:colOff>5864</xdr:colOff>
      <xdr:row>22</xdr:row>
      <xdr:rowOff>142161</xdr:rowOff>
    </xdr:from>
    <xdr:to>
      <xdr:col>16</xdr:col>
      <xdr:colOff>205157</xdr:colOff>
      <xdr:row>24</xdr:row>
      <xdr:rowOff>37825</xdr:rowOff>
    </xdr:to>
    <xdr:sp macro="" textlink="Pivot!B97">
      <xdr:nvSpPr>
        <xdr:cNvPr id="212" name="TextBox 211">
          <a:extLst>
            <a:ext uri="{FF2B5EF4-FFF2-40B4-BE49-F238E27FC236}">
              <a16:creationId xmlns:a16="http://schemas.microsoft.com/office/drawing/2014/main" id="{00000000-0008-0000-0100-0000D4000000}"/>
            </a:ext>
          </a:extLst>
        </xdr:cNvPr>
        <xdr:cNvSpPr txBox="1"/>
      </xdr:nvSpPr>
      <xdr:spPr>
        <a:xfrm>
          <a:off x="7930664" y="4139730"/>
          <a:ext cx="202809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rtl="0" eaLnBrk="1" latinLnBrk="0" hangingPunct="1"/>
          <a:fld id="{080CDF30-3E32-42EA-876D-3ABA691C4824}" type="TxLink">
            <a:rPr lang="en-US" sz="1200" b="1" i="0" u="none" strike="noStrike">
              <a:solidFill>
                <a:srgbClr val="DCDDE8"/>
              </a:solidFill>
              <a:latin typeface="Mangal Pro" panose="00000500000000000000" pitchFamily="2" charset="0"/>
              <a:ea typeface="+mn-ea"/>
              <a:cs typeface="Mangal Pro" panose="00000500000000000000" pitchFamily="2" charset="0"/>
            </a:rPr>
            <a:pPr marL="0" indent="0" algn="l" rtl="0" eaLnBrk="1" latinLnBrk="0" hangingPunct="1"/>
            <a:t>Revenue by Category</a:t>
          </a:fld>
          <a:endParaRPr lang="en-US" sz="1200" b="1" i="0" u="none" strike="noStrike">
            <a:solidFill>
              <a:srgbClr val="DCDDE8"/>
            </a:solidFill>
            <a:latin typeface="Mangal Pro" panose="00000500000000000000" pitchFamily="2" charset="0"/>
            <a:ea typeface="+mn-ea"/>
            <a:cs typeface="Mangal Pro" panose="00000500000000000000" pitchFamily="2" charset="0"/>
          </a:endParaRPr>
        </a:p>
      </xdr:txBody>
    </xdr:sp>
    <xdr:clientData/>
  </xdr:twoCellAnchor>
  <xdr:twoCellAnchor>
    <xdr:from>
      <xdr:col>18</xdr:col>
      <xdr:colOff>222741</xdr:colOff>
      <xdr:row>22</xdr:row>
      <xdr:rowOff>142161</xdr:rowOff>
    </xdr:from>
    <xdr:to>
      <xdr:col>22</xdr:col>
      <xdr:colOff>192350</xdr:colOff>
      <xdr:row>24</xdr:row>
      <xdr:rowOff>37825</xdr:rowOff>
    </xdr:to>
    <xdr:sp macro="" textlink="Pivot!B54">
      <xdr:nvSpPr>
        <xdr:cNvPr id="213" name="TextBox 212">
          <a:extLst>
            <a:ext uri="{FF2B5EF4-FFF2-40B4-BE49-F238E27FC236}">
              <a16:creationId xmlns:a16="http://schemas.microsoft.com/office/drawing/2014/main" id="{00000000-0008-0000-0100-0000D5000000}"/>
            </a:ext>
          </a:extLst>
        </xdr:cNvPr>
        <xdr:cNvSpPr txBox="1"/>
      </xdr:nvSpPr>
      <xdr:spPr>
        <a:xfrm>
          <a:off x="11142275" y="4211093"/>
          <a:ext cx="2396172" cy="265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rtl="0" eaLnBrk="1" latinLnBrk="0" hangingPunct="1"/>
          <a:fld id="{A407DD22-3479-43AA-80B1-0CF348A13639}" type="TxLink">
            <a:rPr lang="en-US" sz="1200" b="1" i="0" u="none" strike="noStrike">
              <a:solidFill>
                <a:srgbClr val="DCDDE8"/>
              </a:solidFill>
              <a:latin typeface="Mangal Pro" panose="00000500000000000000" pitchFamily="2" charset="0"/>
              <a:ea typeface="+mn-ea"/>
              <a:cs typeface="Mangal Pro" panose="00000500000000000000" pitchFamily="2" charset="0"/>
            </a:rPr>
            <a:pPr marL="0" indent="0" algn="l" rtl="0" eaLnBrk="1" latinLnBrk="0" hangingPunct="1"/>
            <a:t>Top Campaigns by Revenue</a:t>
          </a:fld>
          <a:endParaRPr lang="en-US" sz="1200" b="1" i="0" u="none" strike="noStrike">
            <a:solidFill>
              <a:srgbClr val="DCDDE8"/>
            </a:solidFill>
            <a:latin typeface="Mangal Pro" panose="00000500000000000000" pitchFamily="2" charset="0"/>
            <a:ea typeface="+mn-ea"/>
            <a:cs typeface="Mangal Pro" panose="00000500000000000000" pitchFamily="2" charset="0"/>
          </a:endParaRPr>
        </a:p>
      </xdr:txBody>
    </xdr:sp>
    <xdr:clientData/>
  </xdr:twoCellAnchor>
  <xdr:twoCellAnchor>
    <xdr:from>
      <xdr:col>3</xdr:col>
      <xdr:colOff>510465</xdr:colOff>
      <xdr:row>11</xdr:row>
      <xdr:rowOff>15154</xdr:rowOff>
    </xdr:from>
    <xdr:to>
      <xdr:col>9</xdr:col>
      <xdr:colOff>347709</xdr:colOff>
      <xdr:row>22</xdr:row>
      <xdr:rowOff>29592</xdr:rowOff>
    </xdr:to>
    <xdr:graphicFrame macro="">
      <xdr:nvGraphicFramePr>
        <xdr:cNvPr id="215" name="Chart 214">
          <a:extLst>
            <a:ext uri="{FF2B5EF4-FFF2-40B4-BE49-F238E27FC236}">
              <a16:creationId xmlns:a16="http://schemas.microsoft.com/office/drawing/2014/main" id="{00000000-0008-0000-0100-0000D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0</xdr:col>
      <xdr:colOff>347709</xdr:colOff>
      <xdr:row>13</xdr:row>
      <xdr:rowOff>162757</xdr:rowOff>
    </xdr:from>
    <xdr:to>
      <xdr:col>3</xdr:col>
      <xdr:colOff>362505</xdr:colOff>
      <xdr:row>16</xdr:row>
      <xdr:rowOff>110971</xdr:rowOff>
    </xdr:to>
    <xdr:sp macro="" textlink="">
      <xdr:nvSpPr>
        <xdr:cNvPr id="216" name="Rectangle 215">
          <a:hlinkClick xmlns:r="http://schemas.openxmlformats.org/officeDocument/2006/relationships" r:id="rId25"/>
          <a:extLst>
            <a:ext uri="{FF2B5EF4-FFF2-40B4-BE49-F238E27FC236}">
              <a16:creationId xmlns:a16="http://schemas.microsoft.com/office/drawing/2014/main" id="{00000000-0008-0000-0100-0000D8000000}"/>
            </a:ext>
          </a:extLst>
        </xdr:cNvPr>
        <xdr:cNvSpPr/>
      </xdr:nvSpPr>
      <xdr:spPr>
        <a:xfrm>
          <a:off x="347709" y="2567126"/>
          <a:ext cx="1834718" cy="50306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347709</xdr:colOff>
      <xdr:row>18</xdr:row>
      <xdr:rowOff>7398</xdr:rowOff>
    </xdr:from>
    <xdr:to>
      <xdr:col>3</xdr:col>
      <xdr:colOff>362505</xdr:colOff>
      <xdr:row>20</xdr:row>
      <xdr:rowOff>140563</xdr:rowOff>
    </xdr:to>
    <xdr:sp macro="" textlink="">
      <xdr:nvSpPr>
        <xdr:cNvPr id="218" name="Rectangle 217">
          <a:hlinkClick xmlns:r="http://schemas.openxmlformats.org/officeDocument/2006/relationships" r:id="rId26"/>
          <a:extLst>
            <a:ext uri="{FF2B5EF4-FFF2-40B4-BE49-F238E27FC236}">
              <a16:creationId xmlns:a16="http://schemas.microsoft.com/office/drawing/2014/main" id="{00000000-0008-0000-0100-0000DA000000}"/>
            </a:ext>
          </a:extLst>
        </xdr:cNvPr>
        <xdr:cNvSpPr/>
      </xdr:nvSpPr>
      <xdr:spPr>
        <a:xfrm>
          <a:off x="347709" y="3336524"/>
          <a:ext cx="1834718" cy="50306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347709</xdr:colOff>
      <xdr:row>21</xdr:row>
      <xdr:rowOff>96174</xdr:rowOff>
    </xdr:from>
    <xdr:to>
      <xdr:col>3</xdr:col>
      <xdr:colOff>362505</xdr:colOff>
      <xdr:row>24</xdr:row>
      <xdr:rowOff>44388</xdr:rowOff>
    </xdr:to>
    <xdr:sp macro="" textlink="">
      <xdr:nvSpPr>
        <xdr:cNvPr id="219" name="Rectangle 218">
          <a:hlinkClick xmlns:r="http://schemas.openxmlformats.org/officeDocument/2006/relationships" r:id="rId27"/>
          <a:extLst>
            <a:ext uri="{FF2B5EF4-FFF2-40B4-BE49-F238E27FC236}">
              <a16:creationId xmlns:a16="http://schemas.microsoft.com/office/drawing/2014/main" id="{00000000-0008-0000-0100-0000DB000000}"/>
            </a:ext>
          </a:extLst>
        </xdr:cNvPr>
        <xdr:cNvSpPr/>
      </xdr:nvSpPr>
      <xdr:spPr>
        <a:xfrm>
          <a:off x="347709" y="3980155"/>
          <a:ext cx="1834718" cy="50306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347709</xdr:colOff>
      <xdr:row>10</xdr:row>
      <xdr:rowOff>51786</xdr:rowOff>
    </xdr:from>
    <xdr:to>
      <xdr:col>3</xdr:col>
      <xdr:colOff>362505</xdr:colOff>
      <xdr:row>13</xdr:row>
      <xdr:rowOff>0</xdr:rowOff>
    </xdr:to>
    <xdr:sp macro="" textlink="">
      <xdr:nvSpPr>
        <xdr:cNvPr id="220" name="Rectangle 219">
          <a:hlinkClick xmlns:r="http://schemas.openxmlformats.org/officeDocument/2006/relationships" r:id="rId28"/>
          <a:extLst>
            <a:ext uri="{FF2B5EF4-FFF2-40B4-BE49-F238E27FC236}">
              <a16:creationId xmlns:a16="http://schemas.microsoft.com/office/drawing/2014/main" id="{00000000-0008-0000-0100-0000DC000000}"/>
            </a:ext>
          </a:extLst>
        </xdr:cNvPr>
        <xdr:cNvSpPr/>
      </xdr:nvSpPr>
      <xdr:spPr>
        <a:xfrm>
          <a:off x="347709" y="1901301"/>
          <a:ext cx="1834718" cy="50306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0.17737</cdr:x>
      <cdr:y>0.22561</cdr:y>
    </cdr:from>
    <cdr:to>
      <cdr:x>0.40542</cdr:x>
      <cdr:y>0.39867</cdr:y>
    </cdr:to>
    <cdr:sp macro="" textlink="Processing!$B$36">
      <cdr:nvSpPr>
        <cdr:cNvPr id="2" name="TextBox 1">
          <a:extLst xmlns:a="http://schemas.openxmlformats.org/drawingml/2006/main">
            <a:ext uri="{FF2B5EF4-FFF2-40B4-BE49-F238E27FC236}">
              <a16:creationId xmlns:a16="http://schemas.microsoft.com/office/drawing/2014/main" id="{8E04BE83-8821-46FA-1881-3187387DAAB6}"/>
            </a:ext>
          </a:extLst>
        </cdr:cNvPr>
        <cdr:cNvSpPr txBox="1"/>
      </cdr:nvSpPr>
      <cdr:spPr>
        <a:xfrm xmlns:a="http://schemas.openxmlformats.org/drawingml/2006/main">
          <a:off x="569651" y="402224"/>
          <a:ext cx="732408" cy="3085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93ACD7A2-96EE-4C8C-B5BC-6A8D65FD0877}" type="TxLink">
            <a:rPr lang="en-US" sz="1200" b="1" i="0" u="none" strike="noStrike">
              <a:solidFill>
                <a:schemeClr val="bg1"/>
              </a:solidFill>
              <a:latin typeface="Calibri"/>
              <a:cs typeface="Calibri"/>
            </a:rPr>
            <a:pPr/>
            <a:t>11.7M</a:t>
          </a:fld>
          <a:endParaRPr lang="en-US" sz="1200" b="1">
            <a:solidFill>
              <a:schemeClr val="bg1"/>
            </a:solidFill>
          </a:endParaRPr>
        </a:p>
      </cdr:txBody>
    </cdr:sp>
  </cdr:relSizeAnchor>
  <cdr:relSizeAnchor xmlns:cdr="http://schemas.openxmlformats.org/drawingml/2006/chartDrawing">
    <cdr:from>
      <cdr:x>0.17737</cdr:x>
      <cdr:y>0.38136</cdr:y>
    </cdr:from>
    <cdr:to>
      <cdr:x>0.40542</cdr:x>
      <cdr:y>0.55443</cdr:y>
    </cdr:to>
    <cdr:sp macro="" textlink="Processing!$B$37">
      <cdr:nvSpPr>
        <cdr:cNvPr id="3" name="TextBox 2">
          <a:extLst xmlns:a="http://schemas.openxmlformats.org/drawingml/2006/main">
            <a:ext uri="{FF2B5EF4-FFF2-40B4-BE49-F238E27FC236}">
              <a16:creationId xmlns:a16="http://schemas.microsoft.com/office/drawing/2014/main" id="{951EE90F-79D5-9CC0-F41F-1047FB8073F5}"/>
            </a:ext>
          </a:extLst>
        </cdr:cNvPr>
        <cdr:cNvSpPr txBox="1"/>
      </cdr:nvSpPr>
      <cdr:spPr>
        <a:xfrm xmlns:a="http://schemas.openxmlformats.org/drawingml/2006/main">
          <a:off x="569651" y="679909"/>
          <a:ext cx="732408" cy="3085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indent="0"/>
          <a:fld id="{A300280E-F037-4F6C-AE93-35E3096C0CB4}" type="TxLink">
            <a:rPr lang="en-US" sz="1200" b="1" i="0" u="none" strike="noStrike">
              <a:solidFill>
                <a:schemeClr val="bg1"/>
              </a:solidFill>
              <a:latin typeface="Calibri"/>
              <a:ea typeface="+mn-ea"/>
              <a:cs typeface="Calibri"/>
            </a:rPr>
            <a:pPr marL="0" indent="0"/>
            <a:t>9.6M</a:t>
          </a:fld>
          <a:endParaRPr lang="en-US" sz="1200" b="1" i="0" u="none" strike="noStrike">
            <a:solidFill>
              <a:schemeClr val="bg1"/>
            </a:solidFill>
            <a:latin typeface="Calibri"/>
            <a:ea typeface="+mn-ea"/>
            <a:cs typeface="Calibri"/>
          </a:endParaRPr>
        </a:p>
      </cdr:txBody>
    </cdr:sp>
  </cdr:relSizeAnchor>
  <cdr:relSizeAnchor xmlns:cdr="http://schemas.openxmlformats.org/drawingml/2006/chartDrawing">
    <cdr:from>
      <cdr:x>0.17737</cdr:x>
      <cdr:y>0.52414</cdr:y>
    </cdr:from>
    <cdr:to>
      <cdr:x>0.40542</cdr:x>
      <cdr:y>0.6972</cdr:y>
    </cdr:to>
    <cdr:sp macro="" textlink="Processing!$B$38">
      <cdr:nvSpPr>
        <cdr:cNvPr id="4" name="TextBox 3">
          <a:extLst xmlns:a="http://schemas.openxmlformats.org/drawingml/2006/main">
            <a:ext uri="{FF2B5EF4-FFF2-40B4-BE49-F238E27FC236}">
              <a16:creationId xmlns:a16="http://schemas.microsoft.com/office/drawing/2014/main" id="{1F3D7C53-0C3E-55BD-B59F-5350DD2B40ED}"/>
            </a:ext>
          </a:extLst>
        </cdr:cNvPr>
        <cdr:cNvSpPr txBox="1"/>
      </cdr:nvSpPr>
      <cdr:spPr>
        <a:xfrm xmlns:a="http://schemas.openxmlformats.org/drawingml/2006/main">
          <a:off x="569651" y="934453"/>
          <a:ext cx="732408" cy="3085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indent="0"/>
          <a:fld id="{C03B507F-55FC-42EE-A333-84F8E927B7FC}" type="TxLink">
            <a:rPr lang="en-US" sz="1200" b="1" i="0" u="none" strike="noStrike">
              <a:solidFill>
                <a:schemeClr val="bg1"/>
              </a:solidFill>
              <a:latin typeface="Calibri"/>
              <a:ea typeface="+mn-ea"/>
              <a:cs typeface="Calibri"/>
            </a:rPr>
            <a:pPr marL="0" indent="0"/>
            <a:t>7.2M</a:t>
          </a:fld>
          <a:endParaRPr lang="en-US" sz="1200" b="1" i="0" u="none" strike="noStrike">
            <a:solidFill>
              <a:schemeClr val="bg1"/>
            </a:solidFill>
            <a:latin typeface="Calibri"/>
            <a:ea typeface="+mn-ea"/>
            <a:cs typeface="Calibri"/>
          </a:endParaRPr>
        </a:p>
      </cdr:txBody>
    </cdr:sp>
  </cdr:relSizeAnchor>
  <cdr:relSizeAnchor xmlns:cdr="http://schemas.openxmlformats.org/drawingml/2006/chartDrawing">
    <cdr:from>
      <cdr:x>0.17737</cdr:x>
      <cdr:y>0.6799</cdr:y>
    </cdr:from>
    <cdr:to>
      <cdr:x>0.40542</cdr:x>
      <cdr:y>0.85296</cdr:y>
    </cdr:to>
    <cdr:sp macro="" textlink="Processing!$B$39">
      <cdr:nvSpPr>
        <cdr:cNvPr id="5" name="TextBox 4">
          <a:extLst xmlns:a="http://schemas.openxmlformats.org/drawingml/2006/main">
            <a:ext uri="{FF2B5EF4-FFF2-40B4-BE49-F238E27FC236}">
              <a16:creationId xmlns:a16="http://schemas.microsoft.com/office/drawing/2014/main" id="{706B03C3-694E-F698-0FA5-C9E953D8B31A}"/>
            </a:ext>
          </a:extLst>
        </cdr:cNvPr>
        <cdr:cNvSpPr txBox="1"/>
      </cdr:nvSpPr>
      <cdr:spPr>
        <a:xfrm xmlns:a="http://schemas.openxmlformats.org/drawingml/2006/main">
          <a:off x="569651" y="1212138"/>
          <a:ext cx="732408" cy="3085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indent="0"/>
          <a:fld id="{207795C4-5223-4521-A4BF-2BA54BA6D8CA}" type="TxLink">
            <a:rPr lang="en-US" sz="1200" b="1" i="0" u="none" strike="noStrike">
              <a:solidFill>
                <a:schemeClr val="bg1"/>
              </a:solidFill>
              <a:latin typeface="Calibri"/>
              <a:ea typeface="+mn-ea"/>
              <a:cs typeface="Calibri"/>
            </a:rPr>
            <a:pPr marL="0" indent="0"/>
            <a:t>5.0M</a:t>
          </a:fld>
          <a:endParaRPr lang="en-US" sz="1200" b="1" i="0" u="none" strike="noStrike">
            <a:solidFill>
              <a:schemeClr val="bg1"/>
            </a:solidFill>
            <a:latin typeface="Calibri"/>
            <a:ea typeface="+mn-ea"/>
            <a:cs typeface="Calibri"/>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400050</xdr:colOff>
      <xdr:row>42</xdr:row>
      <xdr:rowOff>57150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0" y="0"/>
          <a:ext cx="15640050" cy="7738110"/>
        </a:xfrm>
        <a:prstGeom prst="rect">
          <a:avLst/>
        </a:prstGeom>
        <a:gradFill flip="none" rotWithShape="1">
          <a:gsLst>
            <a:gs pos="0">
              <a:srgbClr val="0376A4"/>
            </a:gs>
            <a:gs pos="60000">
              <a:srgbClr val="000B27"/>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199093</xdr:colOff>
      <xdr:row>1</xdr:row>
      <xdr:rowOff>36118</xdr:rowOff>
    </xdr:from>
    <xdr:to>
      <xdr:col>22</xdr:col>
      <xdr:colOff>414291</xdr:colOff>
      <xdr:row>36</xdr:row>
      <xdr:rowOff>62346</xdr:rowOff>
    </xdr:to>
    <xdr:sp macro="" textlink="">
      <xdr:nvSpPr>
        <xdr:cNvPr id="3" name="Rectangle: Rounded Corners 2">
          <a:extLst>
            <a:ext uri="{FF2B5EF4-FFF2-40B4-BE49-F238E27FC236}">
              <a16:creationId xmlns:a16="http://schemas.microsoft.com/office/drawing/2014/main" id="{00000000-0008-0000-0200-000003000000}"/>
            </a:ext>
          </a:extLst>
        </xdr:cNvPr>
        <xdr:cNvSpPr/>
      </xdr:nvSpPr>
      <xdr:spPr>
        <a:xfrm>
          <a:off x="199093" y="218998"/>
          <a:ext cx="13626398" cy="6427028"/>
        </a:xfrm>
        <a:prstGeom prst="roundRect">
          <a:avLst>
            <a:gd name="adj" fmla="val 4060"/>
          </a:avLst>
        </a:prstGeom>
        <a:gradFill>
          <a:gsLst>
            <a:gs pos="0">
              <a:srgbClr val="1C1C58"/>
            </a:gs>
            <a:gs pos="81000">
              <a:srgbClr val="010103"/>
            </a:gs>
          </a:gsLst>
          <a:path path="circle">
            <a:fillToRect r="100000" b="100000"/>
          </a:path>
        </a:gradFill>
        <a:ln w="9525">
          <a:gradFill flip="none" rotWithShape="1">
            <a:gsLst>
              <a:gs pos="75000">
                <a:srgbClr val="000B27"/>
              </a:gs>
              <a:gs pos="60000">
                <a:srgbClr val="1C1C58"/>
              </a:gs>
              <a:gs pos="0">
                <a:schemeClr val="bg1"/>
              </a:gs>
              <a:gs pos="42000">
                <a:srgbClr val="29BFFB"/>
              </a:gs>
              <a:gs pos="100000">
                <a:srgbClr val="9E78F9"/>
              </a:gs>
            </a:gsLst>
            <a:path path="circle">
              <a:fillToRect r="100000" b="100000"/>
            </a:path>
            <a:tileRect l="-100000" t="-100000"/>
          </a:gradFill>
        </a:ln>
        <a:effectLst>
          <a:outerShdw blurRad="381000" dist="114300" dir="13500000" algn="br" rotWithShape="0">
            <a:srgbClr val="00B0F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362643</xdr:colOff>
      <xdr:row>21</xdr:row>
      <xdr:rowOff>151987</xdr:rowOff>
    </xdr:from>
    <xdr:to>
      <xdr:col>3</xdr:col>
      <xdr:colOff>362643</xdr:colOff>
      <xdr:row>24</xdr:row>
      <xdr:rowOff>49989</xdr:rowOff>
    </xdr:to>
    <xdr:sp macro="" textlink="">
      <xdr:nvSpPr>
        <xdr:cNvPr id="4" name="Rectangle: Rounded Corners 3">
          <a:extLst>
            <a:ext uri="{FF2B5EF4-FFF2-40B4-BE49-F238E27FC236}">
              <a16:creationId xmlns:a16="http://schemas.microsoft.com/office/drawing/2014/main" id="{00000000-0008-0000-0200-000004000000}"/>
            </a:ext>
          </a:extLst>
        </xdr:cNvPr>
        <xdr:cNvSpPr/>
      </xdr:nvSpPr>
      <xdr:spPr>
        <a:xfrm>
          <a:off x="362643" y="4035968"/>
          <a:ext cx="1819922" cy="452856"/>
        </a:xfrm>
        <a:prstGeom prst="roundRect">
          <a:avLst>
            <a:gd name="adj" fmla="val 20663"/>
          </a:avLst>
        </a:prstGeom>
        <a:gradFill flip="none" rotWithShape="1">
          <a:gsLst>
            <a:gs pos="41000">
              <a:srgbClr val="3086ED"/>
            </a:gs>
            <a:gs pos="100000">
              <a:srgbClr val="4226AE"/>
            </a:gs>
            <a:gs pos="0">
              <a:srgbClr val="6FB3F1"/>
            </a:gs>
          </a:gsLst>
          <a:lin ang="2700000" scaled="1"/>
          <a:tileRect/>
        </a:gradFill>
        <a:ln w="9525">
          <a:gradFill flip="none" rotWithShape="1">
            <a:gsLst>
              <a:gs pos="0">
                <a:schemeClr val="accent1">
                  <a:lumMod val="5000"/>
                  <a:lumOff val="95000"/>
                </a:schemeClr>
              </a:gs>
              <a:gs pos="39000">
                <a:srgbClr val="4226AE"/>
              </a:gs>
              <a:gs pos="100000">
                <a:srgbClr val="3086ED"/>
              </a:gs>
            </a:gsLst>
            <a:lin ang="2700000" scaled="1"/>
            <a:tileRect/>
          </a:gradFill>
        </a:ln>
        <a:effectLst>
          <a:outerShdw blurRad="342900" dist="152400" dir="5400000" algn="t" rotWithShape="0">
            <a:srgbClr val="4226AE">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a:solidFill>
              <a:schemeClr val="lt1"/>
            </a:solidFill>
            <a:latin typeface="+mn-lt"/>
            <a:ea typeface="+mn-ea"/>
            <a:cs typeface="+mn-cs"/>
          </a:endParaRPr>
        </a:p>
      </xdr:txBody>
    </xdr:sp>
    <xdr:clientData/>
  </xdr:twoCellAnchor>
  <xdr:twoCellAnchor>
    <xdr:from>
      <xdr:col>0</xdr:col>
      <xdr:colOff>362643</xdr:colOff>
      <xdr:row>1</xdr:row>
      <xdr:rowOff>161405</xdr:rowOff>
    </xdr:from>
    <xdr:to>
      <xdr:col>3</xdr:col>
      <xdr:colOff>362643</xdr:colOff>
      <xdr:row>9</xdr:row>
      <xdr:rowOff>42256</xdr:rowOff>
    </xdr:to>
    <xdr:sp macro="" textlink="">
      <xdr:nvSpPr>
        <xdr:cNvPr id="5" name="Rectangle: Rounded Corners 4">
          <a:extLst>
            <a:ext uri="{FF2B5EF4-FFF2-40B4-BE49-F238E27FC236}">
              <a16:creationId xmlns:a16="http://schemas.microsoft.com/office/drawing/2014/main" id="{00000000-0008-0000-0200-000005000000}"/>
            </a:ext>
          </a:extLst>
        </xdr:cNvPr>
        <xdr:cNvSpPr/>
      </xdr:nvSpPr>
      <xdr:spPr>
        <a:xfrm>
          <a:off x="362643" y="344285"/>
          <a:ext cx="1828800" cy="1343891"/>
        </a:xfrm>
        <a:prstGeom prst="roundRect">
          <a:avLst>
            <a:gd name="adj" fmla="val 13200"/>
          </a:avLst>
        </a:prstGeom>
        <a:gradFill flip="none" rotWithShape="1">
          <a:gsLst>
            <a:gs pos="63000">
              <a:srgbClr val="050B29"/>
            </a:gs>
            <a:gs pos="100000">
              <a:srgbClr val="105BA0"/>
            </a:gs>
          </a:gsLst>
          <a:path path="circle">
            <a:fillToRect l="50000" t="130000" r="50000" b="-30000"/>
          </a:path>
          <a:tileRect/>
        </a:gradFill>
        <a:ln w="9525">
          <a:solidFill>
            <a:srgbClr val="00164C"/>
          </a:solidFill>
        </a:ln>
        <a:effectLst>
          <a:outerShdw blurRad="190500" dist="1270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134043</xdr:colOff>
      <xdr:row>10</xdr:row>
      <xdr:rowOff>136639</xdr:rowOff>
    </xdr:from>
    <xdr:to>
      <xdr:col>3</xdr:col>
      <xdr:colOff>286443</xdr:colOff>
      <xdr:row>12</xdr:row>
      <xdr:rowOff>79489</xdr:rowOff>
    </xdr:to>
    <xdr:sp macro="" textlink="">
      <xdr:nvSpPr>
        <xdr:cNvPr id="6" name="TextBox 27">
          <a:extLst>
            <a:ext uri="{FF2B5EF4-FFF2-40B4-BE49-F238E27FC236}">
              <a16:creationId xmlns:a16="http://schemas.microsoft.com/office/drawing/2014/main" id="{00000000-0008-0000-0200-000006000000}"/>
            </a:ext>
          </a:extLst>
        </xdr:cNvPr>
        <xdr:cNvSpPr txBox="1"/>
      </xdr:nvSpPr>
      <xdr:spPr>
        <a:xfrm>
          <a:off x="743643" y="1965439"/>
          <a:ext cx="1371600" cy="308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l" defTabSz="914400" rtl="0" eaLnBrk="1" latinLnBrk="0" hangingPunct="1"/>
          <a:r>
            <a:rPr lang="en-US" sz="1600" kern="1200">
              <a:solidFill>
                <a:srgbClr val="6FB3F1"/>
              </a:solidFill>
              <a:latin typeface="Aptos Narrow"/>
              <a:ea typeface="+mn-ea"/>
              <a:cs typeface="+mn-cs"/>
            </a:rPr>
            <a:t>Dashboard</a:t>
          </a:r>
          <a:endParaRPr lang="ru-RU" sz="1600" kern="1200">
            <a:solidFill>
              <a:srgbClr val="6FB3F1"/>
            </a:solidFill>
            <a:latin typeface="Aptos Narrow"/>
            <a:ea typeface="+mn-ea"/>
            <a:cs typeface="+mn-cs"/>
          </a:endParaRPr>
        </a:p>
      </xdr:txBody>
    </xdr:sp>
    <xdr:clientData/>
  </xdr:twoCellAnchor>
  <xdr:twoCellAnchor editAs="oneCell">
    <xdr:from>
      <xdr:col>0</xdr:col>
      <xdr:colOff>481484</xdr:colOff>
      <xdr:row>10</xdr:row>
      <xdr:rowOff>157594</xdr:rowOff>
    </xdr:from>
    <xdr:to>
      <xdr:col>1</xdr:col>
      <xdr:colOff>146204</xdr:colOff>
      <xdr:row>12</xdr:row>
      <xdr:rowOff>64249</xdr:rowOff>
    </xdr:to>
    <xdr:pic>
      <xdr:nvPicPr>
        <xdr:cNvPr id="7" name="Graphic 28" descr="Signal with solid fill">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1484" y="1986394"/>
          <a:ext cx="274320" cy="272415"/>
        </a:xfrm>
        <a:prstGeom prst="rect">
          <a:avLst/>
        </a:prstGeom>
      </xdr:spPr>
    </xdr:pic>
    <xdr:clientData/>
  </xdr:twoCellAnchor>
  <xdr:twoCellAnchor>
    <xdr:from>
      <xdr:col>1</xdr:col>
      <xdr:colOff>135609</xdr:colOff>
      <xdr:row>14</xdr:row>
      <xdr:rowOff>101396</xdr:rowOff>
    </xdr:from>
    <xdr:to>
      <xdr:col>3</xdr:col>
      <xdr:colOff>286443</xdr:colOff>
      <xdr:row>16</xdr:row>
      <xdr:rowOff>47017</xdr:rowOff>
    </xdr:to>
    <xdr:sp macro="" textlink="">
      <xdr:nvSpPr>
        <xdr:cNvPr id="8" name="TextBox 29">
          <a:extLst>
            <a:ext uri="{FF2B5EF4-FFF2-40B4-BE49-F238E27FC236}">
              <a16:creationId xmlns:a16="http://schemas.microsoft.com/office/drawing/2014/main" id="{00000000-0008-0000-0200-000008000000}"/>
            </a:ext>
          </a:extLst>
        </xdr:cNvPr>
        <xdr:cNvSpPr txBox="1"/>
      </xdr:nvSpPr>
      <xdr:spPr>
        <a:xfrm>
          <a:off x="745209" y="2661716"/>
          <a:ext cx="1370034" cy="311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600" b="0" i="0" u="none" strike="noStrike">
              <a:solidFill>
                <a:srgbClr val="6FB3F1"/>
              </a:solidFill>
              <a:latin typeface="Aptos Narrow"/>
            </a:rPr>
            <a:t>Analysis</a:t>
          </a:r>
          <a:endParaRPr lang="ru-RU" sz="2800">
            <a:solidFill>
              <a:srgbClr val="6FB3F1"/>
            </a:solidFill>
          </a:endParaRPr>
        </a:p>
      </xdr:txBody>
    </xdr:sp>
    <xdr:clientData/>
  </xdr:twoCellAnchor>
  <xdr:twoCellAnchor>
    <xdr:from>
      <xdr:col>0</xdr:col>
      <xdr:colOff>480753</xdr:colOff>
      <xdr:row>14</xdr:row>
      <xdr:rowOff>155940</xdr:rowOff>
    </xdr:from>
    <xdr:to>
      <xdr:col>1</xdr:col>
      <xdr:colOff>146935</xdr:colOff>
      <xdr:row>16</xdr:row>
      <xdr:rowOff>37873</xdr:rowOff>
    </xdr:to>
    <xdr:pic>
      <xdr:nvPicPr>
        <xdr:cNvPr id="9" name="Graphic 34">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rcRect/>
        <a:stretch/>
      </xdr:blipFill>
      <xdr:spPr>
        <a:xfrm>
          <a:off x="480753" y="2716260"/>
          <a:ext cx="275782" cy="247693"/>
        </a:xfrm>
        <a:prstGeom prst="rect">
          <a:avLst/>
        </a:prstGeom>
      </xdr:spPr>
    </xdr:pic>
    <xdr:clientData/>
  </xdr:twoCellAnchor>
  <xdr:twoCellAnchor>
    <xdr:from>
      <xdr:col>1</xdr:col>
      <xdr:colOff>135716</xdr:colOff>
      <xdr:row>18</xdr:row>
      <xdr:rowOff>66153</xdr:rowOff>
    </xdr:from>
    <xdr:to>
      <xdr:col>3</xdr:col>
      <xdr:colOff>286443</xdr:colOff>
      <xdr:row>20</xdr:row>
      <xdr:rowOff>11774</xdr:rowOff>
    </xdr:to>
    <xdr:sp macro="" textlink="">
      <xdr:nvSpPr>
        <xdr:cNvPr id="10" name="TextBox 30">
          <a:extLst>
            <a:ext uri="{FF2B5EF4-FFF2-40B4-BE49-F238E27FC236}">
              <a16:creationId xmlns:a16="http://schemas.microsoft.com/office/drawing/2014/main" id="{00000000-0008-0000-0200-00000A000000}"/>
            </a:ext>
          </a:extLst>
        </xdr:cNvPr>
        <xdr:cNvSpPr txBox="1"/>
      </xdr:nvSpPr>
      <xdr:spPr>
        <a:xfrm>
          <a:off x="745316" y="3357993"/>
          <a:ext cx="1369927" cy="311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600" b="0" i="0" u="none" strike="noStrike">
              <a:solidFill>
                <a:srgbClr val="6FB3F1"/>
              </a:solidFill>
              <a:latin typeface="Aptos Narrow"/>
            </a:rPr>
            <a:t>Dataset</a:t>
          </a:r>
          <a:endParaRPr lang="ru-RU" sz="2800">
            <a:solidFill>
              <a:srgbClr val="6FB3F1"/>
            </a:solidFill>
          </a:endParaRPr>
        </a:p>
      </xdr:txBody>
    </xdr:sp>
    <xdr:clientData/>
  </xdr:twoCellAnchor>
  <xdr:twoCellAnchor>
    <xdr:from>
      <xdr:col>1</xdr:col>
      <xdr:colOff>135522</xdr:colOff>
      <xdr:row>22</xdr:row>
      <xdr:rowOff>33681</xdr:rowOff>
    </xdr:from>
    <xdr:to>
      <xdr:col>3</xdr:col>
      <xdr:colOff>286443</xdr:colOff>
      <xdr:row>23</xdr:row>
      <xdr:rowOff>156640</xdr:rowOff>
    </xdr:to>
    <xdr:sp macro="" textlink="">
      <xdr:nvSpPr>
        <xdr:cNvPr id="11" name="TextBox 31">
          <a:extLst>
            <a:ext uri="{FF2B5EF4-FFF2-40B4-BE49-F238E27FC236}">
              <a16:creationId xmlns:a16="http://schemas.microsoft.com/office/drawing/2014/main" id="{00000000-0008-0000-0200-00000B000000}"/>
            </a:ext>
          </a:extLst>
        </xdr:cNvPr>
        <xdr:cNvSpPr txBox="1"/>
      </xdr:nvSpPr>
      <xdr:spPr>
        <a:xfrm>
          <a:off x="745122" y="4057041"/>
          <a:ext cx="1370121" cy="305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l" defTabSz="914400" rtl="0" eaLnBrk="1" latinLnBrk="0" hangingPunct="1"/>
          <a:r>
            <a:rPr lang="en-US" sz="1600" b="0" i="0" u="none" strike="noStrike" kern="1200">
              <a:solidFill>
                <a:schemeClr val="bg1"/>
              </a:solidFill>
              <a:latin typeface="Aptos Narrow"/>
              <a:ea typeface="+mn-ea"/>
              <a:cs typeface="+mn-cs"/>
            </a:rPr>
            <a:t>Key Insights</a:t>
          </a:r>
          <a:endParaRPr lang="ru-RU" sz="1600" b="0" i="0" u="none" strike="noStrike" kern="1200">
            <a:solidFill>
              <a:schemeClr val="bg1"/>
            </a:solidFill>
            <a:latin typeface="Aptos Narrow"/>
            <a:ea typeface="+mn-ea"/>
            <a:cs typeface="+mn-cs"/>
          </a:endParaRPr>
        </a:p>
      </xdr:txBody>
    </xdr:sp>
    <xdr:clientData/>
  </xdr:twoCellAnchor>
  <xdr:twoCellAnchor>
    <xdr:from>
      <xdr:col>0</xdr:col>
      <xdr:colOff>504308</xdr:colOff>
      <xdr:row>22</xdr:row>
      <xdr:rowOff>62784</xdr:rowOff>
    </xdr:from>
    <xdr:to>
      <xdr:col>1</xdr:col>
      <xdr:colOff>123380</xdr:colOff>
      <xdr:row>23</xdr:row>
      <xdr:rowOff>148193</xdr:rowOff>
    </xdr:to>
    <xdr:pic>
      <xdr:nvPicPr>
        <xdr:cNvPr id="12" name="Graphic 109">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rcRect/>
        <a:stretch/>
      </xdr:blipFill>
      <xdr:spPr>
        <a:xfrm>
          <a:off x="504308" y="4086144"/>
          <a:ext cx="228672" cy="268289"/>
        </a:xfrm>
        <a:prstGeom prst="rect">
          <a:avLst/>
        </a:prstGeom>
      </xdr:spPr>
    </xdr:pic>
    <xdr:clientData/>
  </xdr:twoCellAnchor>
  <xdr:twoCellAnchor>
    <xdr:from>
      <xdr:col>3</xdr:col>
      <xdr:colOff>505691</xdr:colOff>
      <xdr:row>1</xdr:row>
      <xdr:rowOff>145473</xdr:rowOff>
    </xdr:from>
    <xdr:to>
      <xdr:col>22</xdr:col>
      <xdr:colOff>288524</xdr:colOff>
      <xdr:row>35</xdr:row>
      <xdr:rowOff>125767</xdr:rowOff>
    </xdr:to>
    <xdr:grpSp>
      <xdr:nvGrpSpPr>
        <xdr:cNvPr id="13" name="Group 12">
          <a:extLst>
            <a:ext uri="{FF2B5EF4-FFF2-40B4-BE49-F238E27FC236}">
              <a16:creationId xmlns:a16="http://schemas.microsoft.com/office/drawing/2014/main" id="{00000000-0008-0000-0200-00000D000000}"/>
            </a:ext>
          </a:extLst>
        </xdr:cNvPr>
        <xdr:cNvGrpSpPr/>
      </xdr:nvGrpSpPr>
      <xdr:grpSpPr>
        <a:xfrm>
          <a:off x="2325613" y="330424"/>
          <a:ext cx="11309008" cy="6268644"/>
          <a:chOff x="0" y="0"/>
          <a:chExt cx="11231880" cy="746759"/>
        </a:xfrm>
      </xdr:grpSpPr>
      <xdr:sp macro="" textlink="">
        <xdr:nvSpPr>
          <xdr:cNvPr id="14" name="Rectangle: Rounded Corners 13">
            <a:extLst>
              <a:ext uri="{FF2B5EF4-FFF2-40B4-BE49-F238E27FC236}">
                <a16:creationId xmlns:a16="http://schemas.microsoft.com/office/drawing/2014/main" id="{00000000-0008-0000-0200-00000E000000}"/>
              </a:ext>
            </a:extLst>
          </xdr:cNvPr>
          <xdr:cNvSpPr/>
        </xdr:nvSpPr>
        <xdr:spPr>
          <a:xfrm>
            <a:off x="0" y="0"/>
            <a:ext cx="11231880" cy="746759"/>
          </a:xfrm>
          <a:prstGeom prst="roundRect">
            <a:avLst>
              <a:gd name="adj" fmla="val 18943"/>
            </a:avLst>
          </a:prstGeom>
          <a:gradFill flip="none" rotWithShape="1">
            <a:gsLst>
              <a:gs pos="0">
                <a:srgbClr val="901160"/>
              </a:gs>
              <a:gs pos="19000">
                <a:srgbClr val="190E5E"/>
              </a:gs>
              <a:gs pos="100000">
                <a:srgbClr val="00052B"/>
              </a:gs>
            </a:gsLst>
            <a:lin ang="8400000" scaled="0"/>
            <a:tileRect/>
          </a:gradFill>
          <a:ln w="9525">
            <a:gradFill>
              <a:gsLst>
                <a:gs pos="86014">
                  <a:srgbClr val="261AA8"/>
                </a:gs>
                <a:gs pos="0">
                  <a:srgbClr val="F31DA1"/>
                </a:gs>
                <a:gs pos="56000">
                  <a:srgbClr val="0070C0"/>
                </a:gs>
              </a:gsLst>
              <a:lin ang="8400000" scaled="0"/>
            </a:gradFill>
          </a:ln>
          <a:effectLst>
            <a:outerShdw blurRad="4445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800" kern="1200">
              <a:solidFill>
                <a:schemeClr val="lt1"/>
              </a:solidFill>
              <a:latin typeface="+mn-lt"/>
              <a:ea typeface="+mn-ea"/>
              <a:cs typeface="+mn-cs"/>
            </a:endParaRPr>
          </a:p>
        </xdr:txBody>
      </xdr:sp>
      <xdr:sp macro="" textlink="">
        <xdr:nvSpPr>
          <xdr:cNvPr id="15" name="Rectangle: Rounded Corners 14">
            <a:extLst>
              <a:ext uri="{FF2B5EF4-FFF2-40B4-BE49-F238E27FC236}">
                <a16:creationId xmlns:a16="http://schemas.microsoft.com/office/drawing/2014/main" id="{00000000-0008-0000-0200-00000F000000}"/>
              </a:ext>
            </a:extLst>
          </xdr:cNvPr>
          <xdr:cNvSpPr/>
        </xdr:nvSpPr>
        <xdr:spPr>
          <a:xfrm>
            <a:off x="0" y="0"/>
            <a:ext cx="11231880" cy="746759"/>
          </a:xfrm>
          <a:prstGeom prst="roundRect">
            <a:avLst>
              <a:gd name="adj" fmla="val 2775"/>
            </a:avLst>
          </a:prstGeom>
          <a:gradFill flip="none" rotWithShape="1">
            <a:gsLst>
              <a:gs pos="0">
                <a:srgbClr val="901160"/>
              </a:gs>
              <a:gs pos="19000">
                <a:srgbClr val="190E5E"/>
              </a:gs>
              <a:gs pos="100000">
                <a:srgbClr val="00052B"/>
              </a:gs>
            </a:gsLst>
            <a:lin ang="8400000" scaled="0"/>
            <a:tileRect/>
          </a:gradFill>
          <a:ln w="9525">
            <a:gradFill>
              <a:gsLst>
                <a:gs pos="86014">
                  <a:srgbClr val="261AA8"/>
                </a:gs>
                <a:gs pos="0">
                  <a:srgbClr val="F31DA1"/>
                </a:gs>
                <a:gs pos="56000">
                  <a:srgbClr val="0070C0"/>
                </a:gs>
              </a:gsLst>
              <a:lin ang="8400000" scaled="0"/>
            </a:gradFill>
          </a:ln>
          <a:effectLst>
            <a:outerShdw blurRad="4445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800" kern="1200">
              <a:solidFill>
                <a:schemeClr val="lt1"/>
              </a:solidFill>
              <a:latin typeface="+mn-lt"/>
              <a:ea typeface="+mn-ea"/>
              <a:cs typeface="+mn-cs"/>
            </a:endParaRPr>
          </a:p>
        </xdr:txBody>
      </xdr:sp>
    </xdr:grpSp>
    <xdr:clientData/>
  </xdr:twoCellAnchor>
  <xdr:twoCellAnchor>
    <xdr:from>
      <xdr:col>4</xdr:col>
      <xdr:colOff>2623</xdr:colOff>
      <xdr:row>5</xdr:row>
      <xdr:rowOff>90082</xdr:rowOff>
    </xdr:from>
    <xdr:to>
      <xdr:col>22</xdr:col>
      <xdr:colOff>103573</xdr:colOff>
      <xdr:row>34</xdr:row>
      <xdr:rowOff>125767</xdr:rowOff>
    </xdr:to>
    <xdr:grpSp>
      <xdr:nvGrpSpPr>
        <xdr:cNvPr id="6153" name="Group 6152">
          <a:extLst>
            <a:ext uri="{FF2B5EF4-FFF2-40B4-BE49-F238E27FC236}">
              <a16:creationId xmlns:a16="http://schemas.microsoft.com/office/drawing/2014/main" id="{00000000-0008-0000-0200-000009180000}"/>
            </a:ext>
          </a:extLst>
        </xdr:cNvPr>
        <xdr:cNvGrpSpPr/>
      </xdr:nvGrpSpPr>
      <xdr:grpSpPr>
        <a:xfrm flipH="1">
          <a:off x="2429186" y="1014839"/>
          <a:ext cx="11020484" cy="5399278"/>
          <a:chOff x="0" y="0"/>
          <a:chExt cx="11231880" cy="746759"/>
        </a:xfrm>
      </xdr:grpSpPr>
      <xdr:sp macro="" textlink="">
        <xdr:nvSpPr>
          <xdr:cNvPr id="6154" name="Rectangle: Rounded Corners 6153">
            <a:extLst>
              <a:ext uri="{FF2B5EF4-FFF2-40B4-BE49-F238E27FC236}">
                <a16:creationId xmlns:a16="http://schemas.microsoft.com/office/drawing/2014/main" id="{00000000-0008-0000-0200-00000A180000}"/>
              </a:ext>
            </a:extLst>
          </xdr:cNvPr>
          <xdr:cNvSpPr/>
        </xdr:nvSpPr>
        <xdr:spPr>
          <a:xfrm>
            <a:off x="0" y="0"/>
            <a:ext cx="11231880" cy="746759"/>
          </a:xfrm>
          <a:prstGeom prst="roundRect">
            <a:avLst>
              <a:gd name="adj" fmla="val 18943"/>
            </a:avLst>
          </a:prstGeom>
          <a:gradFill flip="none" rotWithShape="1">
            <a:gsLst>
              <a:gs pos="0">
                <a:srgbClr val="901160"/>
              </a:gs>
              <a:gs pos="19000">
                <a:srgbClr val="190E5E"/>
              </a:gs>
              <a:gs pos="100000">
                <a:srgbClr val="00052B"/>
              </a:gs>
            </a:gsLst>
            <a:lin ang="8400000" scaled="0"/>
            <a:tileRect/>
          </a:gradFill>
          <a:ln w="9525">
            <a:gradFill>
              <a:gsLst>
                <a:gs pos="86014">
                  <a:srgbClr val="261AA8"/>
                </a:gs>
                <a:gs pos="0">
                  <a:srgbClr val="F31DA1"/>
                </a:gs>
                <a:gs pos="56000">
                  <a:srgbClr val="0070C0"/>
                </a:gs>
              </a:gsLst>
              <a:lin ang="8400000" scaled="0"/>
            </a:gradFill>
          </a:ln>
          <a:effectLst>
            <a:outerShdw blurRad="4445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800" kern="1200">
              <a:solidFill>
                <a:schemeClr val="lt1"/>
              </a:solidFill>
              <a:latin typeface="+mn-lt"/>
              <a:ea typeface="+mn-ea"/>
              <a:cs typeface="+mn-cs"/>
            </a:endParaRPr>
          </a:p>
        </xdr:txBody>
      </xdr:sp>
      <xdr:sp macro="" textlink="">
        <xdr:nvSpPr>
          <xdr:cNvPr id="6155" name="Rectangle: Rounded Corners 6154">
            <a:extLst>
              <a:ext uri="{FF2B5EF4-FFF2-40B4-BE49-F238E27FC236}">
                <a16:creationId xmlns:a16="http://schemas.microsoft.com/office/drawing/2014/main" id="{00000000-0008-0000-0200-00000B180000}"/>
              </a:ext>
            </a:extLst>
          </xdr:cNvPr>
          <xdr:cNvSpPr/>
        </xdr:nvSpPr>
        <xdr:spPr>
          <a:xfrm>
            <a:off x="0" y="0"/>
            <a:ext cx="11231880" cy="746759"/>
          </a:xfrm>
          <a:prstGeom prst="roundRect">
            <a:avLst>
              <a:gd name="adj" fmla="val 2775"/>
            </a:avLst>
          </a:prstGeom>
          <a:gradFill flip="none" rotWithShape="1">
            <a:gsLst>
              <a:gs pos="0">
                <a:srgbClr val="901160"/>
              </a:gs>
              <a:gs pos="19000">
                <a:srgbClr val="190E5E"/>
              </a:gs>
              <a:gs pos="100000">
                <a:srgbClr val="00052B"/>
              </a:gs>
            </a:gsLst>
            <a:lin ang="8400000" scaled="0"/>
            <a:tileRect/>
          </a:gradFill>
          <a:ln w="9525">
            <a:gradFill>
              <a:gsLst>
                <a:gs pos="86014">
                  <a:srgbClr val="261AA8"/>
                </a:gs>
                <a:gs pos="0">
                  <a:srgbClr val="F31DA1"/>
                </a:gs>
                <a:gs pos="56000">
                  <a:srgbClr val="0070C0"/>
                </a:gs>
              </a:gsLst>
              <a:lin ang="8400000" scaled="0"/>
            </a:gradFill>
          </a:ln>
          <a:effectLst>
            <a:outerShdw blurRad="444500" dist="635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800" kern="1200">
              <a:solidFill>
                <a:schemeClr val="lt1"/>
              </a:solidFill>
              <a:latin typeface="+mn-lt"/>
              <a:ea typeface="+mn-ea"/>
              <a:cs typeface="+mn-cs"/>
            </a:endParaRPr>
          </a:p>
        </xdr:txBody>
      </xdr:sp>
    </xdr:grpSp>
    <xdr:clientData/>
  </xdr:twoCellAnchor>
  <xdr:twoCellAnchor>
    <xdr:from>
      <xdr:col>1</xdr:col>
      <xdr:colOff>185951</xdr:colOff>
      <xdr:row>3</xdr:row>
      <xdr:rowOff>52811</xdr:rowOff>
    </xdr:from>
    <xdr:to>
      <xdr:col>2</xdr:col>
      <xdr:colOff>508855</xdr:colOff>
      <xdr:row>8</xdr:row>
      <xdr:rowOff>30517</xdr:rowOff>
    </xdr:to>
    <xdr:grpSp>
      <xdr:nvGrpSpPr>
        <xdr:cNvPr id="19" name="Group 18">
          <a:extLst>
            <a:ext uri="{FF2B5EF4-FFF2-40B4-BE49-F238E27FC236}">
              <a16:creationId xmlns:a16="http://schemas.microsoft.com/office/drawing/2014/main" id="{00000000-0008-0000-0200-000013000000}"/>
            </a:ext>
          </a:extLst>
        </xdr:cNvPr>
        <xdr:cNvGrpSpPr/>
      </xdr:nvGrpSpPr>
      <xdr:grpSpPr>
        <a:xfrm>
          <a:off x="792592" y="607665"/>
          <a:ext cx="929545" cy="902464"/>
          <a:chOff x="792592" y="689043"/>
          <a:chExt cx="929545" cy="902464"/>
        </a:xfrm>
      </xdr:grpSpPr>
      <xdr:grpSp>
        <xdr:nvGrpSpPr>
          <xdr:cNvPr id="20" name="Group 19">
            <a:extLst>
              <a:ext uri="{FF2B5EF4-FFF2-40B4-BE49-F238E27FC236}">
                <a16:creationId xmlns:a16="http://schemas.microsoft.com/office/drawing/2014/main" id="{00000000-0008-0000-0200-000014000000}"/>
              </a:ext>
            </a:extLst>
          </xdr:cNvPr>
          <xdr:cNvGrpSpPr/>
        </xdr:nvGrpSpPr>
        <xdr:grpSpPr>
          <a:xfrm>
            <a:off x="792592" y="689043"/>
            <a:ext cx="929545" cy="902464"/>
            <a:chOff x="448148" y="338544"/>
            <a:chExt cx="4171004" cy="4032905"/>
          </a:xfrm>
        </xdr:grpSpPr>
        <xdr:sp macro="" textlink="">
          <xdr:nvSpPr>
            <xdr:cNvPr id="22" name="Freeform: Shape 21">
              <a:extLst>
                <a:ext uri="{FF2B5EF4-FFF2-40B4-BE49-F238E27FC236}">
                  <a16:creationId xmlns:a16="http://schemas.microsoft.com/office/drawing/2014/main" id="{00000000-0008-0000-0200-000016000000}"/>
                </a:ext>
              </a:extLst>
            </xdr:cNvPr>
            <xdr:cNvSpPr/>
          </xdr:nvSpPr>
          <xdr:spPr>
            <a:xfrm flipH="1">
              <a:off x="837825" y="338544"/>
              <a:ext cx="3391650" cy="3746043"/>
            </a:xfrm>
            <a:custGeom>
              <a:avLst/>
              <a:gdLst>
                <a:gd name="csX0" fmla="*/ 1683927 w 3367854"/>
                <a:gd name="csY0" fmla="*/ 483152 h 3746043"/>
                <a:gd name="csX1" fmla="*/ 1816211 w 3367854"/>
                <a:gd name="csY1" fmla="*/ 544314 h 3746043"/>
                <a:gd name="csX2" fmla="*/ 1807528 w 3367854"/>
                <a:gd name="csY2" fmla="*/ 3476797 h 3746043"/>
                <a:gd name="csX3" fmla="*/ 1683927 w 3367854"/>
                <a:gd name="csY3" fmla="*/ 3494059 h 3746043"/>
                <a:gd name="csX4" fmla="*/ 1560326 w 3367854"/>
                <a:gd name="csY4" fmla="*/ 3476797 h 3746043"/>
                <a:gd name="csX5" fmla="*/ 1551643 w 3367854"/>
                <a:gd name="csY5" fmla="*/ 544314 h 3746043"/>
                <a:gd name="csX6" fmla="*/ 1851517 w 3367854"/>
                <a:gd name="csY6" fmla="*/ 50 h 3746043"/>
                <a:gd name="csX7" fmla="*/ 1691195 w 3367854"/>
                <a:gd name="csY7" fmla="*/ 28960 h 3746043"/>
                <a:gd name="csX8" fmla="*/ 1683927 w 3367854"/>
                <a:gd name="csY8" fmla="*/ 33301 h 3746043"/>
                <a:gd name="csX9" fmla="*/ 1676660 w 3367854"/>
                <a:gd name="csY9" fmla="*/ 28960 h 3746043"/>
                <a:gd name="csX10" fmla="*/ 664787 w 3367854"/>
                <a:gd name="csY10" fmla="*/ 406156 h 3746043"/>
                <a:gd name="csX11" fmla="*/ 1514396 w 3367854"/>
                <a:gd name="csY11" fmla="*/ 3727318 h 3746043"/>
                <a:gd name="csX12" fmla="*/ 1681987 w 3367854"/>
                <a:gd name="csY12" fmla="*/ 3745620 h 3746043"/>
                <a:gd name="csX13" fmla="*/ 1681987 w 3367854"/>
                <a:gd name="csY13" fmla="*/ 3746043 h 3746043"/>
                <a:gd name="csX14" fmla="*/ 1683927 w 3367854"/>
                <a:gd name="csY14" fmla="*/ 3745831 h 3746043"/>
                <a:gd name="csX15" fmla="*/ 1685867 w 3367854"/>
                <a:gd name="csY15" fmla="*/ 3746043 h 3746043"/>
                <a:gd name="csX16" fmla="*/ 1685867 w 3367854"/>
                <a:gd name="csY16" fmla="*/ 3745620 h 3746043"/>
                <a:gd name="csX17" fmla="*/ 1853458 w 3367854"/>
                <a:gd name="csY17" fmla="*/ 3727318 h 3746043"/>
                <a:gd name="csX18" fmla="*/ 2703067 w 3367854"/>
                <a:gd name="csY18" fmla="*/ 406156 h 3746043"/>
                <a:gd name="csX19" fmla="*/ 1851517 w 3367854"/>
                <a:gd name="csY19" fmla="*/ 50 h 3746043"/>
                <a:gd name="csX0" fmla="*/ 1567087 w 3367854"/>
                <a:gd name="csY0" fmla="*/ 437432 h 3746043"/>
                <a:gd name="csX1" fmla="*/ 1816211 w 3367854"/>
                <a:gd name="csY1" fmla="*/ 544314 h 3746043"/>
                <a:gd name="csX2" fmla="*/ 1807528 w 3367854"/>
                <a:gd name="csY2" fmla="*/ 3476797 h 3746043"/>
                <a:gd name="csX3" fmla="*/ 1683927 w 3367854"/>
                <a:gd name="csY3" fmla="*/ 3494059 h 3746043"/>
                <a:gd name="csX4" fmla="*/ 1560326 w 3367854"/>
                <a:gd name="csY4" fmla="*/ 3476797 h 3746043"/>
                <a:gd name="csX5" fmla="*/ 1551643 w 3367854"/>
                <a:gd name="csY5" fmla="*/ 544314 h 3746043"/>
                <a:gd name="csX6" fmla="*/ 1567087 w 3367854"/>
                <a:gd name="csY6" fmla="*/ 437432 h 3746043"/>
                <a:gd name="csX7" fmla="*/ 1851517 w 3367854"/>
                <a:gd name="csY7" fmla="*/ 50 h 3746043"/>
                <a:gd name="csX8" fmla="*/ 1691195 w 3367854"/>
                <a:gd name="csY8" fmla="*/ 28960 h 3746043"/>
                <a:gd name="csX9" fmla="*/ 1683927 w 3367854"/>
                <a:gd name="csY9" fmla="*/ 33301 h 3746043"/>
                <a:gd name="csX10" fmla="*/ 1676660 w 3367854"/>
                <a:gd name="csY10" fmla="*/ 28960 h 3746043"/>
                <a:gd name="csX11" fmla="*/ 664787 w 3367854"/>
                <a:gd name="csY11" fmla="*/ 406156 h 3746043"/>
                <a:gd name="csX12" fmla="*/ 1514396 w 3367854"/>
                <a:gd name="csY12" fmla="*/ 3727318 h 3746043"/>
                <a:gd name="csX13" fmla="*/ 1681987 w 3367854"/>
                <a:gd name="csY13" fmla="*/ 3745620 h 3746043"/>
                <a:gd name="csX14" fmla="*/ 1681987 w 3367854"/>
                <a:gd name="csY14" fmla="*/ 3746043 h 3746043"/>
                <a:gd name="csX15" fmla="*/ 1683927 w 3367854"/>
                <a:gd name="csY15" fmla="*/ 3745831 h 3746043"/>
                <a:gd name="csX16" fmla="*/ 1685867 w 3367854"/>
                <a:gd name="csY16" fmla="*/ 3746043 h 3746043"/>
                <a:gd name="csX17" fmla="*/ 1685867 w 3367854"/>
                <a:gd name="csY17" fmla="*/ 3745620 h 3746043"/>
                <a:gd name="csX18" fmla="*/ 1853458 w 3367854"/>
                <a:gd name="csY18" fmla="*/ 3727318 h 3746043"/>
                <a:gd name="csX19" fmla="*/ 2703067 w 3367854"/>
                <a:gd name="csY19" fmla="*/ 406156 h 3746043"/>
                <a:gd name="csX20" fmla="*/ 1851517 w 3367854"/>
                <a:gd name="csY20" fmla="*/ 50 h 3746043"/>
                <a:gd name="csX0" fmla="*/ 1567087 w 3367854"/>
                <a:gd name="csY0" fmla="*/ 437432 h 3746043"/>
                <a:gd name="csX1" fmla="*/ 1816211 w 3367854"/>
                <a:gd name="csY1" fmla="*/ 544314 h 3746043"/>
                <a:gd name="csX2" fmla="*/ 1807528 w 3367854"/>
                <a:gd name="csY2" fmla="*/ 3476797 h 3746043"/>
                <a:gd name="csX3" fmla="*/ 1683927 w 3367854"/>
                <a:gd name="csY3" fmla="*/ 3494059 h 3746043"/>
                <a:gd name="csX4" fmla="*/ 1560326 w 3367854"/>
                <a:gd name="csY4" fmla="*/ 3476797 h 3746043"/>
                <a:gd name="csX5" fmla="*/ 1312883 w 3367854"/>
                <a:gd name="csY5" fmla="*/ 564634 h 3746043"/>
                <a:gd name="csX6" fmla="*/ 1567087 w 3367854"/>
                <a:gd name="csY6" fmla="*/ 437432 h 3746043"/>
                <a:gd name="csX7" fmla="*/ 1851517 w 3367854"/>
                <a:gd name="csY7" fmla="*/ 50 h 3746043"/>
                <a:gd name="csX8" fmla="*/ 1691195 w 3367854"/>
                <a:gd name="csY8" fmla="*/ 28960 h 3746043"/>
                <a:gd name="csX9" fmla="*/ 1683927 w 3367854"/>
                <a:gd name="csY9" fmla="*/ 33301 h 3746043"/>
                <a:gd name="csX10" fmla="*/ 1676660 w 3367854"/>
                <a:gd name="csY10" fmla="*/ 28960 h 3746043"/>
                <a:gd name="csX11" fmla="*/ 664787 w 3367854"/>
                <a:gd name="csY11" fmla="*/ 406156 h 3746043"/>
                <a:gd name="csX12" fmla="*/ 1514396 w 3367854"/>
                <a:gd name="csY12" fmla="*/ 3727318 h 3746043"/>
                <a:gd name="csX13" fmla="*/ 1681987 w 3367854"/>
                <a:gd name="csY13" fmla="*/ 3745620 h 3746043"/>
                <a:gd name="csX14" fmla="*/ 1681987 w 3367854"/>
                <a:gd name="csY14" fmla="*/ 3746043 h 3746043"/>
                <a:gd name="csX15" fmla="*/ 1683927 w 3367854"/>
                <a:gd name="csY15" fmla="*/ 3745831 h 3746043"/>
                <a:gd name="csX16" fmla="*/ 1685867 w 3367854"/>
                <a:gd name="csY16" fmla="*/ 3746043 h 3746043"/>
                <a:gd name="csX17" fmla="*/ 1685867 w 3367854"/>
                <a:gd name="csY17" fmla="*/ 3745620 h 3746043"/>
                <a:gd name="csX18" fmla="*/ 1853458 w 3367854"/>
                <a:gd name="csY18" fmla="*/ 3727318 h 3746043"/>
                <a:gd name="csX19" fmla="*/ 2703067 w 3367854"/>
                <a:gd name="csY19" fmla="*/ 406156 h 3746043"/>
                <a:gd name="csX20" fmla="*/ 1851517 w 3367854"/>
                <a:gd name="csY20" fmla="*/ 50 h 3746043"/>
                <a:gd name="csX0" fmla="*/ 1567087 w 3367854"/>
                <a:gd name="csY0" fmla="*/ 437432 h 3746043"/>
                <a:gd name="csX1" fmla="*/ 1816211 w 3367854"/>
                <a:gd name="csY1" fmla="*/ 544314 h 3746043"/>
                <a:gd name="csX2" fmla="*/ 1807528 w 3367854"/>
                <a:gd name="csY2" fmla="*/ 3476797 h 3746043"/>
                <a:gd name="csX3" fmla="*/ 1683927 w 3367854"/>
                <a:gd name="csY3" fmla="*/ 3494059 h 3746043"/>
                <a:gd name="csX4" fmla="*/ 1560326 w 3367854"/>
                <a:gd name="csY4" fmla="*/ 3476797 h 3746043"/>
                <a:gd name="csX5" fmla="*/ 1312883 w 3367854"/>
                <a:gd name="csY5" fmla="*/ 564634 h 3746043"/>
                <a:gd name="csX6" fmla="*/ 1567087 w 3367854"/>
                <a:gd name="csY6" fmla="*/ 437432 h 3746043"/>
                <a:gd name="csX7" fmla="*/ 1851517 w 3367854"/>
                <a:gd name="csY7" fmla="*/ 50 h 3746043"/>
                <a:gd name="csX8" fmla="*/ 1691195 w 3367854"/>
                <a:gd name="csY8" fmla="*/ 28960 h 3746043"/>
                <a:gd name="csX9" fmla="*/ 1683927 w 3367854"/>
                <a:gd name="csY9" fmla="*/ 33301 h 3746043"/>
                <a:gd name="csX10" fmla="*/ 1676660 w 3367854"/>
                <a:gd name="csY10" fmla="*/ 28960 h 3746043"/>
                <a:gd name="csX11" fmla="*/ 664787 w 3367854"/>
                <a:gd name="csY11" fmla="*/ 406156 h 3746043"/>
                <a:gd name="csX12" fmla="*/ 1514396 w 3367854"/>
                <a:gd name="csY12" fmla="*/ 3727318 h 3746043"/>
                <a:gd name="csX13" fmla="*/ 1681987 w 3367854"/>
                <a:gd name="csY13" fmla="*/ 3745620 h 3746043"/>
                <a:gd name="csX14" fmla="*/ 1681987 w 3367854"/>
                <a:gd name="csY14" fmla="*/ 3746043 h 3746043"/>
                <a:gd name="csX15" fmla="*/ 1683927 w 3367854"/>
                <a:gd name="csY15" fmla="*/ 3745831 h 3746043"/>
                <a:gd name="csX16" fmla="*/ 1685867 w 3367854"/>
                <a:gd name="csY16" fmla="*/ 3746043 h 3746043"/>
                <a:gd name="csX17" fmla="*/ 1685867 w 3367854"/>
                <a:gd name="csY17" fmla="*/ 3745620 h 3746043"/>
                <a:gd name="csX18" fmla="*/ 1853458 w 3367854"/>
                <a:gd name="csY18" fmla="*/ 3727318 h 3746043"/>
                <a:gd name="csX19" fmla="*/ 2703067 w 3367854"/>
                <a:gd name="csY19" fmla="*/ 406156 h 3746043"/>
                <a:gd name="csX20" fmla="*/ 1851517 w 3367854"/>
                <a:gd name="csY20" fmla="*/ 50 h 3746043"/>
                <a:gd name="csX0" fmla="*/ 1567087 w 3367854"/>
                <a:gd name="csY0" fmla="*/ 437432 h 3746043"/>
                <a:gd name="csX1" fmla="*/ 1816211 w 3367854"/>
                <a:gd name="csY1" fmla="*/ 544314 h 3746043"/>
                <a:gd name="csX2" fmla="*/ 1807528 w 3367854"/>
                <a:gd name="csY2" fmla="*/ 3476797 h 3746043"/>
                <a:gd name="csX3" fmla="*/ 1683927 w 3367854"/>
                <a:gd name="csY3" fmla="*/ 3494059 h 3746043"/>
                <a:gd name="csX4" fmla="*/ 1560326 w 3367854"/>
                <a:gd name="csY4" fmla="*/ 3476797 h 3746043"/>
                <a:gd name="csX5" fmla="*/ 1312883 w 3367854"/>
                <a:gd name="csY5" fmla="*/ 564634 h 3746043"/>
                <a:gd name="csX6" fmla="*/ 1567087 w 3367854"/>
                <a:gd name="csY6" fmla="*/ 437432 h 3746043"/>
                <a:gd name="csX7" fmla="*/ 1851517 w 3367854"/>
                <a:gd name="csY7" fmla="*/ 50 h 3746043"/>
                <a:gd name="csX8" fmla="*/ 1691195 w 3367854"/>
                <a:gd name="csY8" fmla="*/ 28960 h 3746043"/>
                <a:gd name="csX9" fmla="*/ 1683927 w 3367854"/>
                <a:gd name="csY9" fmla="*/ 33301 h 3746043"/>
                <a:gd name="csX10" fmla="*/ 1676660 w 3367854"/>
                <a:gd name="csY10" fmla="*/ 28960 h 3746043"/>
                <a:gd name="csX11" fmla="*/ 664787 w 3367854"/>
                <a:gd name="csY11" fmla="*/ 406156 h 3746043"/>
                <a:gd name="csX12" fmla="*/ 1514396 w 3367854"/>
                <a:gd name="csY12" fmla="*/ 3727318 h 3746043"/>
                <a:gd name="csX13" fmla="*/ 1681987 w 3367854"/>
                <a:gd name="csY13" fmla="*/ 3745620 h 3746043"/>
                <a:gd name="csX14" fmla="*/ 1681987 w 3367854"/>
                <a:gd name="csY14" fmla="*/ 3746043 h 3746043"/>
                <a:gd name="csX15" fmla="*/ 1683927 w 3367854"/>
                <a:gd name="csY15" fmla="*/ 3745831 h 3746043"/>
                <a:gd name="csX16" fmla="*/ 1685867 w 3367854"/>
                <a:gd name="csY16" fmla="*/ 3746043 h 3746043"/>
                <a:gd name="csX17" fmla="*/ 1685867 w 3367854"/>
                <a:gd name="csY17" fmla="*/ 3745620 h 3746043"/>
                <a:gd name="csX18" fmla="*/ 1853458 w 3367854"/>
                <a:gd name="csY18" fmla="*/ 3727318 h 3746043"/>
                <a:gd name="csX19" fmla="*/ 2703067 w 3367854"/>
                <a:gd name="csY19" fmla="*/ 406156 h 3746043"/>
                <a:gd name="csX20" fmla="*/ 1851517 w 3367854"/>
                <a:gd name="csY20" fmla="*/ 50 h 3746043"/>
                <a:gd name="csX0" fmla="*/ 1567087 w 3367854"/>
                <a:gd name="csY0" fmla="*/ 437432 h 3746043"/>
                <a:gd name="csX1" fmla="*/ 1816211 w 3367854"/>
                <a:gd name="csY1" fmla="*/ 544314 h 3746043"/>
                <a:gd name="csX2" fmla="*/ 1807528 w 3367854"/>
                <a:gd name="csY2" fmla="*/ 3476797 h 3746043"/>
                <a:gd name="csX3" fmla="*/ 1683927 w 3367854"/>
                <a:gd name="csY3" fmla="*/ 3494059 h 3746043"/>
                <a:gd name="csX4" fmla="*/ 1560326 w 3367854"/>
                <a:gd name="csY4" fmla="*/ 3476797 h 3746043"/>
                <a:gd name="csX5" fmla="*/ 1312883 w 3367854"/>
                <a:gd name="csY5" fmla="*/ 564634 h 3746043"/>
                <a:gd name="csX6" fmla="*/ 1567087 w 3367854"/>
                <a:gd name="csY6" fmla="*/ 437432 h 3746043"/>
                <a:gd name="csX7" fmla="*/ 1851517 w 3367854"/>
                <a:gd name="csY7" fmla="*/ 50 h 3746043"/>
                <a:gd name="csX8" fmla="*/ 1691195 w 3367854"/>
                <a:gd name="csY8" fmla="*/ 28960 h 3746043"/>
                <a:gd name="csX9" fmla="*/ 1683927 w 3367854"/>
                <a:gd name="csY9" fmla="*/ 33301 h 3746043"/>
                <a:gd name="csX10" fmla="*/ 1676660 w 3367854"/>
                <a:gd name="csY10" fmla="*/ 28960 h 3746043"/>
                <a:gd name="csX11" fmla="*/ 664787 w 3367854"/>
                <a:gd name="csY11" fmla="*/ 406156 h 3746043"/>
                <a:gd name="csX12" fmla="*/ 1514396 w 3367854"/>
                <a:gd name="csY12" fmla="*/ 3727318 h 3746043"/>
                <a:gd name="csX13" fmla="*/ 1681987 w 3367854"/>
                <a:gd name="csY13" fmla="*/ 3745620 h 3746043"/>
                <a:gd name="csX14" fmla="*/ 1681987 w 3367854"/>
                <a:gd name="csY14" fmla="*/ 3746043 h 3746043"/>
                <a:gd name="csX15" fmla="*/ 1683927 w 3367854"/>
                <a:gd name="csY15" fmla="*/ 3745831 h 3746043"/>
                <a:gd name="csX16" fmla="*/ 1685867 w 3367854"/>
                <a:gd name="csY16" fmla="*/ 3746043 h 3746043"/>
                <a:gd name="csX17" fmla="*/ 1685867 w 3367854"/>
                <a:gd name="csY17" fmla="*/ 3745620 h 3746043"/>
                <a:gd name="csX18" fmla="*/ 1853458 w 3367854"/>
                <a:gd name="csY18" fmla="*/ 3727318 h 3746043"/>
                <a:gd name="csX19" fmla="*/ 2703067 w 3367854"/>
                <a:gd name="csY19" fmla="*/ 406156 h 3746043"/>
                <a:gd name="csX20" fmla="*/ 1851517 w 3367854"/>
                <a:gd name="csY20" fmla="*/ 50 h 374604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Lst>
              <a:rect l="l" t="t" r="r" b="b"/>
              <a:pathLst>
                <a:path w="3367854" h="3746043">
                  <a:moveTo>
                    <a:pt x="1567087" y="437432"/>
                  </a:moveTo>
                  <a:cubicBezTo>
                    <a:pt x="1611182" y="457819"/>
                    <a:pt x="1772116" y="523927"/>
                    <a:pt x="1816211" y="544314"/>
                  </a:cubicBezTo>
                  <a:cubicBezTo>
                    <a:pt x="3615393" y="1442245"/>
                    <a:pt x="3136714" y="3234693"/>
                    <a:pt x="1807528" y="3476797"/>
                  </a:cubicBezTo>
                  <a:lnTo>
                    <a:pt x="1683927" y="3494059"/>
                  </a:lnTo>
                  <a:lnTo>
                    <a:pt x="1560326" y="3476797"/>
                  </a:lnTo>
                  <a:cubicBezTo>
                    <a:pt x="231141" y="3234693"/>
                    <a:pt x="-405019" y="1498125"/>
                    <a:pt x="1312883" y="564634"/>
                  </a:cubicBezTo>
                  <a:cubicBezTo>
                    <a:pt x="1356978" y="544247"/>
                    <a:pt x="1522992" y="457819"/>
                    <a:pt x="1567087" y="437432"/>
                  </a:cubicBezTo>
                  <a:close/>
                  <a:moveTo>
                    <a:pt x="1851517" y="50"/>
                  </a:moveTo>
                  <a:cubicBezTo>
                    <a:pt x="1788025" y="-826"/>
                    <a:pt x="1734666" y="9870"/>
                    <a:pt x="1691195" y="28960"/>
                  </a:cubicBezTo>
                  <a:lnTo>
                    <a:pt x="1683927" y="33301"/>
                  </a:lnTo>
                  <a:lnTo>
                    <a:pt x="1676660" y="28960"/>
                  </a:lnTo>
                  <a:cubicBezTo>
                    <a:pt x="1502776" y="-47400"/>
                    <a:pt x="1170671" y="10545"/>
                    <a:pt x="664787" y="406156"/>
                  </a:cubicBezTo>
                  <a:cubicBezTo>
                    <a:pt x="-417478" y="1408725"/>
                    <a:pt x="-208556" y="3474353"/>
                    <a:pt x="1514396" y="3727318"/>
                  </a:cubicBezTo>
                  <a:lnTo>
                    <a:pt x="1681987" y="3745620"/>
                  </a:lnTo>
                  <a:lnTo>
                    <a:pt x="1681987" y="3746043"/>
                  </a:lnTo>
                  <a:lnTo>
                    <a:pt x="1683927" y="3745831"/>
                  </a:lnTo>
                  <a:lnTo>
                    <a:pt x="1685867" y="3746043"/>
                  </a:lnTo>
                  <a:lnTo>
                    <a:pt x="1685867" y="3745620"/>
                  </a:lnTo>
                  <a:lnTo>
                    <a:pt x="1853458" y="3727318"/>
                  </a:lnTo>
                  <a:cubicBezTo>
                    <a:pt x="3576410" y="3474353"/>
                    <a:pt x="3785332" y="1408725"/>
                    <a:pt x="2703067" y="406156"/>
                  </a:cubicBezTo>
                  <a:cubicBezTo>
                    <a:pt x="2323655" y="109448"/>
                    <a:pt x="2041992" y="2677"/>
                    <a:pt x="1851517" y="50"/>
                  </a:cubicBezTo>
                  <a:close/>
                </a:path>
              </a:pathLst>
            </a:custGeom>
            <a:gradFill>
              <a:gsLst>
                <a:gs pos="10000">
                  <a:srgbClr val="041F41">
                    <a:alpha val="70000"/>
                  </a:srgbClr>
                </a:gs>
                <a:gs pos="100000">
                  <a:srgbClr val="106CC2"/>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3" name="Freeform: Shape 22">
              <a:extLst>
                <a:ext uri="{FF2B5EF4-FFF2-40B4-BE49-F238E27FC236}">
                  <a16:creationId xmlns:a16="http://schemas.microsoft.com/office/drawing/2014/main" id="{00000000-0008-0000-0200-000017000000}"/>
                </a:ext>
              </a:extLst>
            </xdr:cNvPr>
            <xdr:cNvSpPr/>
          </xdr:nvSpPr>
          <xdr:spPr>
            <a:xfrm flipH="1">
              <a:off x="837825" y="446236"/>
              <a:ext cx="3391650" cy="3680599"/>
            </a:xfrm>
            <a:custGeom>
              <a:avLst/>
              <a:gdLst>
                <a:gd name="csX0" fmla="*/ 2304891 w 3199659"/>
                <a:gd name="csY0" fmla="*/ 879 h 3680599"/>
                <a:gd name="csX1" fmla="*/ 2306096 w 3199659"/>
                <a:gd name="csY1" fmla="*/ 178788 h 3680599"/>
                <a:gd name="csX2" fmla="*/ 1856766 w 3199659"/>
                <a:gd name="csY2" fmla="*/ 3371353 h 3680599"/>
                <a:gd name="csX3" fmla="*/ 1599830 w 3199659"/>
                <a:gd name="csY3" fmla="*/ 3428638 h 3680599"/>
                <a:gd name="csX4" fmla="*/ 1342895 w 3199659"/>
                <a:gd name="csY4" fmla="*/ 3371353 h 3680599"/>
                <a:gd name="csX5" fmla="*/ 893564 w 3199659"/>
                <a:gd name="csY5" fmla="*/ 178788 h 3680599"/>
                <a:gd name="csX6" fmla="*/ 230624 w 3199659"/>
                <a:gd name="csY6" fmla="*/ 482952 h 3680599"/>
                <a:gd name="csX7" fmla="*/ 1597144 w 3199659"/>
                <a:gd name="csY7" fmla="*/ 3680599 h 3680599"/>
                <a:gd name="csX8" fmla="*/ 1598256 w 3199659"/>
                <a:gd name="csY8" fmla="*/ 3606119 h 3680599"/>
                <a:gd name="csX9" fmla="*/ 1599830 w 3199659"/>
                <a:gd name="csY9" fmla="*/ 3586016 h 3680599"/>
                <a:gd name="csX10" fmla="*/ 1601405 w 3199659"/>
                <a:gd name="csY10" fmla="*/ 3606119 h 3680599"/>
                <a:gd name="csX11" fmla="*/ 1602516 w 3199659"/>
                <a:gd name="csY11" fmla="*/ 3680599 h 3680599"/>
                <a:gd name="csX12" fmla="*/ 2969036 w 3199659"/>
                <a:gd name="csY12" fmla="*/ 482952 h 3680599"/>
                <a:gd name="csX13" fmla="*/ 2304891 w 3199659"/>
                <a:gd name="csY13" fmla="*/ 879 h 368059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Lst>
              <a:rect l="l" t="t" r="r" b="b"/>
              <a:pathLst>
                <a:path w="3199659" h="3680599">
                  <a:moveTo>
                    <a:pt x="2304891" y="879"/>
                  </a:moveTo>
                  <a:cubicBezTo>
                    <a:pt x="2227277" y="8969"/>
                    <a:pt x="2210846" y="72581"/>
                    <a:pt x="2306096" y="178788"/>
                  </a:cubicBezTo>
                  <a:cubicBezTo>
                    <a:pt x="3634834" y="1733504"/>
                    <a:pt x="3129265" y="3014080"/>
                    <a:pt x="1856766" y="3371353"/>
                  </a:cubicBezTo>
                  <a:lnTo>
                    <a:pt x="1599830" y="3428638"/>
                  </a:lnTo>
                  <a:lnTo>
                    <a:pt x="1342895" y="3371353"/>
                  </a:lnTo>
                  <a:cubicBezTo>
                    <a:pt x="70396" y="3014080"/>
                    <a:pt x="-435174" y="1733504"/>
                    <a:pt x="893564" y="178788"/>
                  </a:cubicBezTo>
                  <a:cubicBezTo>
                    <a:pt x="1147564" y="-104430"/>
                    <a:pt x="607391" y="-84751"/>
                    <a:pt x="230624" y="482952"/>
                  </a:cubicBezTo>
                  <a:cubicBezTo>
                    <a:pt x="-144873" y="1370541"/>
                    <a:pt x="-282456" y="3543281"/>
                    <a:pt x="1597144" y="3680599"/>
                  </a:cubicBezTo>
                  <a:cubicBezTo>
                    <a:pt x="1596721" y="3649158"/>
                    <a:pt x="1597250" y="3625654"/>
                    <a:pt x="1598256" y="3606119"/>
                  </a:cubicBezTo>
                  <a:lnTo>
                    <a:pt x="1599830" y="3586016"/>
                  </a:lnTo>
                  <a:lnTo>
                    <a:pt x="1601405" y="3606119"/>
                  </a:lnTo>
                  <a:cubicBezTo>
                    <a:pt x="1602410" y="3625654"/>
                    <a:pt x="1602939" y="3649158"/>
                    <a:pt x="1602516" y="3680599"/>
                  </a:cubicBezTo>
                  <a:cubicBezTo>
                    <a:pt x="3482116" y="3543281"/>
                    <a:pt x="3344533" y="1370541"/>
                    <a:pt x="2969036" y="482952"/>
                  </a:cubicBezTo>
                  <a:cubicBezTo>
                    <a:pt x="2733557" y="128137"/>
                    <a:pt x="2434247" y="-12605"/>
                    <a:pt x="2304891" y="879"/>
                  </a:cubicBezTo>
                  <a:close/>
                </a:path>
              </a:pathLst>
            </a:custGeom>
            <a:gradFill>
              <a:gsLst>
                <a:gs pos="0">
                  <a:srgbClr val="041F41">
                    <a:alpha val="70000"/>
                  </a:srgbClr>
                </a:gs>
                <a:gs pos="100000">
                  <a:srgbClr val="3F9BEF"/>
                </a:gs>
                <a:gs pos="55000">
                  <a:srgbClr val="106CC2"/>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4" name="Freeform: Shape 23">
              <a:extLst>
                <a:ext uri="{FF2B5EF4-FFF2-40B4-BE49-F238E27FC236}">
                  <a16:creationId xmlns:a16="http://schemas.microsoft.com/office/drawing/2014/main" id="{00000000-0008-0000-0200-000018000000}"/>
                </a:ext>
              </a:extLst>
            </xdr:cNvPr>
            <xdr:cNvSpPr/>
          </xdr:nvSpPr>
          <xdr:spPr>
            <a:xfrm flipH="1">
              <a:off x="650257" y="763050"/>
              <a:ext cx="3766787" cy="3392015"/>
            </a:xfrm>
            <a:custGeom>
              <a:avLst/>
              <a:gdLst>
                <a:gd name="csX0" fmla="*/ 3219633 w 3577267"/>
                <a:gd name="csY0" fmla="*/ 109 h 3392015"/>
                <a:gd name="csX1" fmla="*/ 3173338 w 3577267"/>
                <a:gd name="csY1" fmla="*/ 291524 h 3392015"/>
                <a:gd name="csX2" fmla="*/ 2040719 w 3577267"/>
                <a:gd name="csY2" fmla="*/ 3100168 h 3392015"/>
                <a:gd name="csX3" fmla="*/ 1788634 w 3577267"/>
                <a:gd name="csY3" fmla="*/ 3140173 h 3392015"/>
                <a:gd name="csX4" fmla="*/ 1536548 w 3577267"/>
                <a:gd name="csY4" fmla="*/ 3100168 h 3392015"/>
                <a:gd name="csX5" fmla="*/ 403929 w 3577267"/>
                <a:gd name="csY5" fmla="*/ 291524 h 3392015"/>
                <a:gd name="csX6" fmla="*/ 172789 w 3577267"/>
                <a:gd name="csY6" fmla="*/ 240088 h 3392015"/>
                <a:gd name="csX7" fmla="*/ 1788229 w 3577267"/>
                <a:gd name="csY7" fmla="*/ 3392015 h 3392015"/>
                <a:gd name="csX8" fmla="*/ 1788249 w 3577267"/>
                <a:gd name="csY8" fmla="*/ 3350310 h 3392015"/>
                <a:gd name="csX9" fmla="*/ 1788634 w 3577267"/>
                <a:gd name="csY9" fmla="*/ 3338762 h 3392015"/>
                <a:gd name="csX10" fmla="*/ 1789018 w 3577267"/>
                <a:gd name="csY10" fmla="*/ 3350310 h 3392015"/>
                <a:gd name="csX11" fmla="*/ 1789038 w 3577267"/>
                <a:gd name="csY11" fmla="*/ 3392015 h 3392015"/>
                <a:gd name="csX12" fmla="*/ 3404478 w 3577267"/>
                <a:gd name="csY12" fmla="*/ 240088 h 3392015"/>
                <a:gd name="csX13" fmla="*/ 3219633 w 3577267"/>
                <a:gd name="csY13" fmla="*/ 109 h 339201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Lst>
              <a:rect l="l" t="t" r="r" b="b"/>
              <a:pathLst>
                <a:path w="3577267" h="3392015">
                  <a:moveTo>
                    <a:pt x="3219633" y="109"/>
                  </a:moveTo>
                  <a:cubicBezTo>
                    <a:pt x="3159765" y="4270"/>
                    <a:pt x="3133333" y="126499"/>
                    <a:pt x="3173338" y="291524"/>
                  </a:cubicBezTo>
                  <a:cubicBezTo>
                    <a:pt x="3701976" y="1803378"/>
                    <a:pt x="3293740" y="2840173"/>
                    <a:pt x="2040719" y="3100168"/>
                  </a:cubicBezTo>
                  <a:lnTo>
                    <a:pt x="1788634" y="3140173"/>
                  </a:lnTo>
                  <a:lnTo>
                    <a:pt x="1536548" y="3100168"/>
                  </a:lnTo>
                  <a:cubicBezTo>
                    <a:pt x="283527" y="2840173"/>
                    <a:pt x="-124709" y="1803378"/>
                    <a:pt x="403929" y="291524"/>
                  </a:cubicBezTo>
                  <a:cubicBezTo>
                    <a:pt x="475049" y="-1853"/>
                    <a:pt x="336196" y="-159975"/>
                    <a:pt x="172789" y="240088"/>
                  </a:cubicBezTo>
                  <a:cubicBezTo>
                    <a:pt x="-202708" y="1127677"/>
                    <a:pt x="-91371" y="3254697"/>
                    <a:pt x="1788229" y="3392015"/>
                  </a:cubicBezTo>
                  <a:cubicBezTo>
                    <a:pt x="1788018" y="3376295"/>
                    <a:pt x="1788044" y="3362558"/>
                    <a:pt x="1788249" y="3350310"/>
                  </a:cubicBezTo>
                  <a:lnTo>
                    <a:pt x="1788634" y="3338762"/>
                  </a:lnTo>
                  <a:lnTo>
                    <a:pt x="1789018" y="3350310"/>
                  </a:lnTo>
                  <a:cubicBezTo>
                    <a:pt x="1789223" y="3362558"/>
                    <a:pt x="1789250" y="3376295"/>
                    <a:pt x="1789038" y="3392015"/>
                  </a:cubicBezTo>
                  <a:cubicBezTo>
                    <a:pt x="3668638" y="3254697"/>
                    <a:pt x="3779975" y="1127677"/>
                    <a:pt x="3404478" y="240088"/>
                  </a:cubicBezTo>
                  <a:cubicBezTo>
                    <a:pt x="3332988" y="65060"/>
                    <a:pt x="3266197" y="-3127"/>
                    <a:pt x="3219633" y="109"/>
                  </a:cubicBezTo>
                  <a:close/>
                </a:path>
              </a:pathLst>
            </a:custGeom>
            <a:gradFill>
              <a:gsLst>
                <a:gs pos="1000">
                  <a:srgbClr val="041F41">
                    <a:alpha val="70000"/>
                  </a:srgbClr>
                </a:gs>
                <a:gs pos="55000">
                  <a:srgbClr val="106CC2"/>
                </a:gs>
                <a:gs pos="100000">
                  <a:srgbClr val="00E8FF"/>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5" name="Freeform: Shape 24">
              <a:extLst>
                <a:ext uri="{FF2B5EF4-FFF2-40B4-BE49-F238E27FC236}">
                  <a16:creationId xmlns:a16="http://schemas.microsoft.com/office/drawing/2014/main" id="{00000000-0008-0000-0200-000019000000}"/>
                </a:ext>
              </a:extLst>
            </xdr:cNvPr>
            <xdr:cNvSpPr/>
          </xdr:nvSpPr>
          <xdr:spPr>
            <a:xfrm flipH="1">
              <a:off x="546069" y="1305581"/>
              <a:ext cx="3975163" cy="2949345"/>
            </a:xfrm>
            <a:custGeom>
              <a:avLst/>
              <a:gdLst>
                <a:gd name="csX0" fmla="*/ 3729374 w 3816142"/>
                <a:gd name="csY0" fmla="*/ 553 h 2949345"/>
                <a:gd name="csX1" fmla="*/ 3661037 w 3816142"/>
                <a:gd name="csY1" fmla="*/ 265414 h 2949345"/>
                <a:gd name="csX2" fmla="*/ 2063611 w 3816142"/>
                <a:gd name="csY2" fmla="*/ 2639401 h 2949345"/>
                <a:gd name="csX3" fmla="*/ 1908071 w 3816142"/>
                <a:gd name="csY3" fmla="*/ 2668168 h 2949345"/>
                <a:gd name="csX4" fmla="*/ 1752531 w 3816142"/>
                <a:gd name="csY4" fmla="*/ 2639401 h 2949345"/>
                <a:gd name="csX5" fmla="*/ 155105 w 3816142"/>
                <a:gd name="csY5" fmla="*/ 265414 h 2949345"/>
                <a:gd name="csX6" fmla="*/ 15405 w 3816142"/>
                <a:gd name="csY6" fmla="*/ 178417 h 2949345"/>
                <a:gd name="csX7" fmla="*/ 1734797 w 3816142"/>
                <a:gd name="csY7" fmla="*/ 2902451 h 2949345"/>
                <a:gd name="csX8" fmla="*/ 1905908 w 3816142"/>
                <a:gd name="csY8" fmla="*/ 2948186 h 2949345"/>
                <a:gd name="csX9" fmla="*/ 1905897 w 3816142"/>
                <a:gd name="csY9" fmla="*/ 2949345 h 2949345"/>
                <a:gd name="csX10" fmla="*/ 1908071 w 3816142"/>
                <a:gd name="csY10" fmla="*/ 2948764 h 2949345"/>
                <a:gd name="csX11" fmla="*/ 1910245 w 3816142"/>
                <a:gd name="csY11" fmla="*/ 2949345 h 2949345"/>
                <a:gd name="csX12" fmla="*/ 1910234 w 3816142"/>
                <a:gd name="csY12" fmla="*/ 2948186 h 2949345"/>
                <a:gd name="csX13" fmla="*/ 2081346 w 3816142"/>
                <a:gd name="csY13" fmla="*/ 2902451 h 2949345"/>
                <a:gd name="csX14" fmla="*/ 3800737 w 3816142"/>
                <a:gd name="csY14" fmla="*/ 178417 h 2949345"/>
                <a:gd name="csX15" fmla="*/ 3729374 w 3816142"/>
                <a:gd name="csY15" fmla="*/ 553 h 294934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Lst>
              <a:rect l="l" t="t" r="r" b="b"/>
              <a:pathLst>
                <a:path w="3816142" h="2949345">
                  <a:moveTo>
                    <a:pt x="3729374" y="553"/>
                  </a:moveTo>
                  <a:cubicBezTo>
                    <a:pt x="3685511" y="-9183"/>
                    <a:pt x="3645162" y="110628"/>
                    <a:pt x="3661037" y="265414"/>
                  </a:cubicBezTo>
                  <a:cubicBezTo>
                    <a:pt x="3651195" y="986129"/>
                    <a:pt x="3642147" y="2305638"/>
                    <a:pt x="2063611" y="2639401"/>
                  </a:cubicBezTo>
                  <a:lnTo>
                    <a:pt x="1908071" y="2668168"/>
                  </a:lnTo>
                  <a:lnTo>
                    <a:pt x="1752531" y="2639401"/>
                  </a:lnTo>
                  <a:cubicBezTo>
                    <a:pt x="173995" y="2305638"/>
                    <a:pt x="164948" y="986129"/>
                    <a:pt x="155105" y="265414"/>
                  </a:cubicBezTo>
                  <a:cubicBezTo>
                    <a:pt x="180505" y="17757"/>
                    <a:pt x="61972" y="-140366"/>
                    <a:pt x="15405" y="178417"/>
                  </a:cubicBezTo>
                  <a:cubicBezTo>
                    <a:pt x="-43240" y="772520"/>
                    <a:pt x="-21633" y="2382012"/>
                    <a:pt x="1734797" y="2902451"/>
                  </a:cubicBezTo>
                  <a:lnTo>
                    <a:pt x="1905908" y="2948186"/>
                  </a:lnTo>
                  <a:lnTo>
                    <a:pt x="1905897" y="2949345"/>
                  </a:lnTo>
                  <a:lnTo>
                    <a:pt x="1908071" y="2948764"/>
                  </a:lnTo>
                  <a:lnTo>
                    <a:pt x="1910245" y="2949345"/>
                  </a:lnTo>
                  <a:lnTo>
                    <a:pt x="1910234" y="2948186"/>
                  </a:lnTo>
                  <a:lnTo>
                    <a:pt x="2081346" y="2902451"/>
                  </a:lnTo>
                  <a:cubicBezTo>
                    <a:pt x="3837775" y="2382012"/>
                    <a:pt x="3859382" y="772520"/>
                    <a:pt x="3800737" y="178417"/>
                  </a:cubicBezTo>
                  <a:cubicBezTo>
                    <a:pt x="3783274" y="58874"/>
                    <a:pt x="3755692" y="6395"/>
                    <a:pt x="3729374" y="553"/>
                  </a:cubicBezTo>
                  <a:close/>
                </a:path>
              </a:pathLst>
            </a:custGeom>
            <a:gradFill>
              <a:gsLst>
                <a:gs pos="0">
                  <a:srgbClr val="041F41">
                    <a:alpha val="70000"/>
                  </a:srgbClr>
                </a:gs>
                <a:gs pos="23000">
                  <a:srgbClr val="106CC2"/>
                </a:gs>
                <a:gs pos="73000">
                  <a:srgbClr val="00E8FF"/>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6" name="Freeform: Shape 25">
              <a:extLst>
                <a:ext uri="{FF2B5EF4-FFF2-40B4-BE49-F238E27FC236}">
                  <a16:creationId xmlns:a16="http://schemas.microsoft.com/office/drawing/2014/main" id="{00000000-0008-0000-0200-00001A000000}"/>
                </a:ext>
              </a:extLst>
            </xdr:cNvPr>
            <xdr:cNvSpPr/>
          </xdr:nvSpPr>
          <xdr:spPr>
            <a:xfrm flipH="1">
              <a:off x="448148" y="1758251"/>
              <a:ext cx="4171004" cy="2613198"/>
            </a:xfrm>
            <a:custGeom>
              <a:avLst/>
              <a:gdLst>
                <a:gd name="csX0" fmla="*/ 3947041 w 4019623"/>
                <a:gd name="csY0" fmla="*/ 633 h 2613198"/>
                <a:gd name="csX1" fmla="*/ 3836316 w 4019623"/>
                <a:gd name="csY1" fmla="*/ 460890 h 2613198"/>
                <a:gd name="csX2" fmla="*/ 2010056 w 4019623"/>
                <a:gd name="csY2" fmla="*/ 2279530 h 2613198"/>
                <a:gd name="csX3" fmla="*/ 2009786 w 4019623"/>
                <a:gd name="csY3" fmla="*/ 2297122 h 2613198"/>
                <a:gd name="csX4" fmla="*/ 2009568 w 4019623"/>
                <a:gd name="csY4" fmla="*/ 2282998 h 2613198"/>
                <a:gd name="csX5" fmla="*/ 183308 w 4019623"/>
                <a:gd name="csY5" fmla="*/ 464358 h 2613198"/>
                <a:gd name="csX6" fmla="*/ 28368 w 4019623"/>
                <a:gd name="csY6" fmla="*/ 68118 h 2613198"/>
                <a:gd name="csX7" fmla="*/ 1816528 w 4019623"/>
                <a:gd name="csY7" fmla="*/ 2465878 h 2613198"/>
                <a:gd name="csX8" fmla="*/ 1982621 w 4019623"/>
                <a:gd name="csY8" fmla="*/ 2558628 h 2613198"/>
                <a:gd name="csX9" fmla="*/ 2005171 w 4019623"/>
                <a:gd name="csY9" fmla="*/ 2597051 h 2613198"/>
                <a:gd name="csX10" fmla="*/ 2004976 w 4019623"/>
                <a:gd name="csY10" fmla="*/ 2609730 h 2613198"/>
                <a:gd name="csX11" fmla="*/ 2008795 w 4019623"/>
                <a:gd name="csY11" fmla="*/ 2603224 h 2613198"/>
                <a:gd name="csX12" fmla="*/ 2014648 w 4019623"/>
                <a:gd name="csY12" fmla="*/ 2613198 h 2613198"/>
                <a:gd name="csX13" fmla="*/ 2014349 w 4019623"/>
                <a:gd name="csY13" fmla="*/ 2593760 h 2613198"/>
                <a:gd name="csX14" fmla="*/ 2037004 w 4019623"/>
                <a:gd name="csY14" fmla="*/ 2555160 h 2613198"/>
                <a:gd name="csX15" fmla="*/ 2203096 w 4019623"/>
                <a:gd name="csY15" fmla="*/ 2462410 h 2613198"/>
                <a:gd name="csX16" fmla="*/ 3991256 w 4019623"/>
                <a:gd name="csY16" fmla="*/ 64650 h 2613198"/>
                <a:gd name="csX17" fmla="*/ 3947041 w 4019623"/>
                <a:gd name="csY17" fmla="*/ 633 h 261319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Lst>
              <a:rect l="l" t="t" r="r" b="b"/>
              <a:pathLst>
                <a:path w="4019623" h="2613198">
                  <a:moveTo>
                    <a:pt x="3947041" y="633"/>
                  </a:moveTo>
                  <a:cubicBezTo>
                    <a:pt x="3893155" y="-15235"/>
                    <a:pt x="3877591" y="270337"/>
                    <a:pt x="3836316" y="460890"/>
                  </a:cubicBezTo>
                  <a:cubicBezTo>
                    <a:pt x="3729636" y="1058637"/>
                    <a:pt x="3420603" y="2081410"/>
                    <a:pt x="2010056" y="2279530"/>
                  </a:cubicBezTo>
                  <a:lnTo>
                    <a:pt x="2009786" y="2297122"/>
                  </a:lnTo>
                  <a:lnTo>
                    <a:pt x="2009568" y="2282998"/>
                  </a:lnTo>
                  <a:cubicBezTo>
                    <a:pt x="599021" y="2084878"/>
                    <a:pt x="289988" y="1062105"/>
                    <a:pt x="183308" y="464358"/>
                  </a:cubicBezTo>
                  <a:cubicBezTo>
                    <a:pt x="132508" y="229831"/>
                    <a:pt x="120655" y="-148629"/>
                    <a:pt x="28368" y="68118"/>
                  </a:cubicBezTo>
                  <a:cubicBezTo>
                    <a:pt x="-127419" y="816571"/>
                    <a:pt x="343328" y="2245745"/>
                    <a:pt x="1816528" y="2465878"/>
                  </a:cubicBezTo>
                  <a:cubicBezTo>
                    <a:pt x="1917493" y="2480483"/>
                    <a:pt x="1951783" y="2510328"/>
                    <a:pt x="1982621" y="2558628"/>
                  </a:cubicBezTo>
                  <a:lnTo>
                    <a:pt x="2005171" y="2597051"/>
                  </a:lnTo>
                  <a:lnTo>
                    <a:pt x="2004976" y="2609730"/>
                  </a:lnTo>
                  <a:lnTo>
                    <a:pt x="2008795" y="2603224"/>
                  </a:lnTo>
                  <a:lnTo>
                    <a:pt x="2014648" y="2613198"/>
                  </a:lnTo>
                  <a:lnTo>
                    <a:pt x="2014349" y="2593760"/>
                  </a:lnTo>
                  <a:lnTo>
                    <a:pt x="2037004" y="2555160"/>
                  </a:lnTo>
                  <a:cubicBezTo>
                    <a:pt x="2067841" y="2506860"/>
                    <a:pt x="2102131" y="2477015"/>
                    <a:pt x="2203096" y="2462410"/>
                  </a:cubicBezTo>
                  <a:cubicBezTo>
                    <a:pt x="3676296" y="2242277"/>
                    <a:pt x="4147043" y="813103"/>
                    <a:pt x="3991256" y="64650"/>
                  </a:cubicBezTo>
                  <a:cubicBezTo>
                    <a:pt x="3973952" y="24010"/>
                    <a:pt x="3959476" y="4295"/>
                    <a:pt x="3947041" y="633"/>
                  </a:cubicBezTo>
                  <a:close/>
                </a:path>
              </a:pathLst>
            </a:custGeom>
            <a:gradFill flip="none" rotWithShape="1">
              <a:gsLst>
                <a:gs pos="0">
                  <a:srgbClr val="041F41">
                    <a:alpha val="70000"/>
                  </a:srgbClr>
                </a:gs>
                <a:gs pos="25200">
                  <a:srgbClr val="064BAE"/>
                </a:gs>
                <a:gs pos="56000">
                  <a:srgbClr val="00E8FF"/>
                </a:gs>
                <a:gs pos="100000">
                  <a:schemeClr val="bg1"/>
                </a:gs>
              </a:gsLst>
              <a:lin ang="54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21" name="Freeform: Shape 20">
            <a:extLst>
              <a:ext uri="{FF2B5EF4-FFF2-40B4-BE49-F238E27FC236}">
                <a16:creationId xmlns:a16="http://schemas.microsoft.com/office/drawing/2014/main" id="{00000000-0008-0000-0200-000015000000}"/>
              </a:ext>
            </a:extLst>
          </xdr:cNvPr>
          <xdr:cNvSpPr/>
        </xdr:nvSpPr>
        <xdr:spPr>
          <a:xfrm>
            <a:off x="1131174" y="1014341"/>
            <a:ext cx="252382" cy="251868"/>
          </a:xfrm>
          <a:custGeom>
            <a:avLst/>
            <a:gdLst>
              <a:gd name="connsiteX0" fmla="*/ 227336 w 1247958"/>
              <a:gd name="connsiteY0" fmla="*/ 1027515 h 1220865"/>
              <a:gd name="connsiteX1" fmla="*/ 274201 w 1247958"/>
              <a:gd name="connsiteY1" fmla="*/ 1078597 h 1220865"/>
              <a:gd name="connsiteX2" fmla="*/ 274158 w 1247958"/>
              <a:gd name="connsiteY2" fmla="*/ 1169805 h 1220865"/>
              <a:gd name="connsiteX3" fmla="*/ 224467 w 1247958"/>
              <a:gd name="connsiteY3" fmla="*/ 1220496 h 1220865"/>
              <a:gd name="connsiteX4" fmla="*/ 137563 w 1247958"/>
              <a:gd name="connsiteY4" fmla="*/ 1220670 h 1220865"/>
              <a:gd name="connsiteX5" fmla="*/ 52875 w 1247958"/>
              <a:gd name="connsiteY5" fmla="*/ 1220583 h 1220865"/>
              <a:gd name="connsiteX6" fmla="*/ 228 w 1247958"/>
              <a:gd name="connsiteY6" fmla="*/ 1168197 h 1220865"/>
              <a:gd name="connsiteX7" fmla="*/ 228 w 1247958"/>
              <a:gd name="connsiteY7" fmla="*/ 1079162 h 1220865"/>
              <a:gd name="connsiteX8" fmla="*/ 47137 w 1247958"/>
              <a:gd name="connsiteY8" fmla="*/ 1027906 h 1220865"/>
              <a:gd name="connsiteX9" fmla="*/ 227336 w 1247958"/>
              <a:gd name="connsiteY9" fmla="*/ 1027515 h 1220865"/>
              <a:gd name="connsiteX10" fmla="*/ 378495 w 1247958"/>
              <a:gd name="connsiteY10" fmla="*/ 741500 h 1220865"/>
              <a:gd name="connsiteX11" fmla="*/ 545653 w 1247958"/>
              <a:gd name="connsiteY11" fmla="*/ 741500 h 1220865"/>
              <a:gd name="connsiteX12" fmla="*/ 599299 w 1247958"/>
              <a:gd name="connsiteY12" fmla="*/ 796842 h 1220865"/>
              <a:gd name="connsiteX13" fmla="*/ 599299 w 1247958"/>
              <a:gd name="connsiteY13" fmla="*/ 1159372 h 1220865"/>
              <a:gd name="connsiteX14" fmla="*/ 537610 w 1247958"/>
              <a:gd name="connsiteY14" fmla="*/ 1220583 h 1220865"/>
              <a:gd name="connsiteX15" fmla="*/ 381321 w 1247958"/>
              <a:gd name="connsiteY15" fmla="*/ 1220540 h 1220865"/>
              <a:gd name="connsiteX16" fmla="*/ 325327 w 1247958"/>
              <a:gd name="connsiteY16" fmla="*/ 1165414 h 1220865"/>
              <a:gd name="connsiteX17" fmla="*/ 325196 w 1247958"/>
              <a:gd name="connsiteY17" fmla="*/ 980998 h 1220865"/>
              <a:gd name="connsiteX18" fmla="*/ 325240 w 1247958"/>
              <a:gd name="connsiteY18" fmla="*/ 794277 h 1220865"/>
              <a:gd name="connsiteX19" fmla="*/ 378495 w 1247958"/>
              <a:gd name="connsiteY19" fmla="*/ 741500 h 1220865"/>
              <a:gd name="connsiteX20" fmla="*/ 700811 w 1247958"/>
              <a:gd name="connsiteY20" fmla="*/ 521391 h 1220865"/>
              <a:gd name="connsiteX21" fmla="*/ 868186 w 1247958"/>
              <a:gd name="connsiteY21" fmla="*/ 521522 h 1220865"/>
              <a:gd name="connsiteX22" fmla="*/ 922789 w 1247958"/>
              <a:gd name="connsiteY22" fmla="*/ 577125 h 1220865"/>
              <a:gd name="connsiteX23" fmla="*/ 922832 w 1247958"/>
              <a:gd name="connsiteY23" fmla="*/ 870574 h 1220865"/>
              <a:gd name="connsiteX24" fmla="*/ 922572 w 1247958"/>
              <a:gd name="connsiteY24" fmla="*/ 870531 h 1220865"/>
              <a:gd name="connsiteX25" fmla="*/ 922485 w 1247958"/>
              <a:gd name="connsiteY25" fmla="*/ 1166154 h 1220865"/>
              <a:gd name="connsiteX26" fmla="*/ 868055 w 1247958"/>
              <a:gd name="connsiteY26" fmla="*/ 1220453 h 1220865"/>
              <a:gd name="connsiteX27" fmla="*/ 702854 w 1247958"/>
              <a:gd name="connsiteY27" fmla="*/ 1220540 h 1220865"/>
              <a:gd name="connsiteX28" fmla="*/ 648816 w 1247958"/>
              <a:gd name="connsiteY28" fmla="*/ 1166980 h 1220865"/>
              <a:gd name="connsiteX29" fmla="*/ 648816 w 1247958"/>
              <a:gd name="connsiteY29" fmla="*/ 573604 h 1220865"/>
              <a:gd name="connsiteX30" fmla="*/ 700811 w 1247958"/>
              <a:gd name="connsiteY30" fmla="*/ 521391 h 1220865"/>
              <a:gd name="connsiteX31" fmla="*/ 1029170 w 1247958"/>
              <a:gd name="connsiteY31" fmla="*/ 338844 h 1220865"/>
              <a:gd name="connsiteX32" fmla="*/ 1196501 w 1247958"/>
              <a:gd name="connsiteY32" fmla="*/ 338931 h 1220865"/>
              <a:gd name="connsiteX33" fmla="*/ 1247844 w 1247958"/>
              <a:gd name="connsiteY33" fmla="*/ 389926 h 1220865"/>
              <a:gd name="connsiteX34" fmla="*/ 1247844 w 1247958"/>
              <a:gd name="connsiteY34" fmla="*/ 1167849 h 1220865"/>
              <a:gd name="connsiteX35" fmla="*/ 1195501 w 1247958"/>
              <a:gd name="connsiteY35" fmla="*/ 1220540 h 1220865"/>
              <a:gd name="connsiteX36" fmla="*/ 1025997 w 1247958"/>
              <a:gd name="connsiteY36" fmla="*/ 1220540 h 1220865"/>
              <a:gd name="connsiteX37" fmla="*/ 973915 w 1247958"/>
              <a:gd name="connsiteY37" fmla="*/ 1167762 h 1220865"/>
              <a:gd name="connsiteX38" fmla="*/ 973828 w 1247958"/>
              <a:gd name="connsiteY38" fmla="*/ 778844 h 1220865"/>
              <a:gd name="connsiteX39" fmla="*/ 973828 w 1247958"/>
              <a:gd name="connsiteY39" fmla="*/ 394230 h 1220865"/>
              <a:gd name="connsiteX40" fmla="*/ 1029170 w 1247958"/>
              <a:gd name="connsiteY40" fmla="*/ 338844 h 1220865"/>
              <a:gd name="connsiteX41" fmla="*/ 1014519 w 1247958"/>
              <a:gd name="connsiteY41" fmla="*/ 226 h 1220865"/>
              <a:gd name="connsiteX42" fmla="*/ 1049690 w 1247958"/>
              <a:gd name="connsiteY42" fmla="*/ 49177 h 1220865"/>
              <a:gd name="connsiteX43" fmla="*/ 958916 w 1247958"/>
              <a:gd name="connsiteY43" fmla="*/ 253114 h 1220865"/>
              <a:gd name="connsiteX44" fmla="*/ 946309 w 1247958"/>
              <a:gd name="connsiteY44" fmla="*/ 280720 h 1220865"/>
              <a:gd name="connsiteX45" fmla="*/ 893444 w 1247958"/>
              <a:gd name="connsiteY45" fmla="*/ 286241 h 1220865"/>
              <a:gd name="connsiteX46" fmla="*/ 871359 w 1247958"/>
              <a:gd name="connsiteY46" fmla="*/ 256766 h 1220865"/>
              <a:gd name="connsiteX47" fmla="*/ 726243 w 1247958"/>
              <a:gd name="connsiteY47" fmla="*/ 363233 h 1220865"/>
              <a:gd name="connsiteX48" fmla="*/ 143953 w 1247958"/>
              <a:gd name="connsiteY48" fmla="*/ 791930 h 1220865"/>
              <a:gd name="connsiteX49" fmla="*/ 89132 w 1247958"/>
              <a:gd name="connsiteY49" fmla="*/ 783236 h 1220865"/>
              <a:gd name="connsiteX50" fmla="*/ 29138 w 1247958"/>
              <a:gd name="connsiteY50" fmla="*/ 700722 h 1220865"/>
              <a:gd name="connsiteX51" fmla="*/ 38007 w 1247958"/>
              <a:gd name="connsiteY51" fmla="*/ 639250 h 1220865"/>
              <a:gd name="connsiteX52" fmla="*/ 746285 w 1247958"/>
              <a:gd name="connsiteY52" fmla="*/ 117997 h 1220865"/>
              <a:gd name="connsiteX53" fmla="*/ 762109 w 1247958"/>
              <a:gd name="connsiteY53" fmla="*/ 105476 h 1220865"/>
              <a:gd name="connsiteX54" fmla="*/ 741720 w 1247958"/>
              <a:gd name="connsiteY54" fmla="*/ 76218 h 1220865"/>
              <a:gd name="connsiteX55" fmla="*/ 764283 w 1247958"/>
              <a:gd name="connsiteY55" fmla="*/ 26701 h 1220865"/>
              <a:gd name="connsiteX56" fmla="*/ 986609 w 1247958"/>
              <a:gd name="connsiteY56" fmla="*/ 3965 h 1220865"/>
              <a:gd name="connsiteX57" fmla="*/ 1014519 w 1247958"/>
              <a:gd name="connsiteY57" fmla="*/ 226 h 122086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1247958" h="1220865">
                <a:moveTo>
                  <a:pt x="227336" y="1027515"/>
                </a:moveTo>
                <a:cubicBezTo>
                  <a:pt x="257768" y="1028124"/>
                  <a:pt x="273940" y="1047644"/>
                  <a:pt x="274201" y="1078597"/>
                </a:cubicBezTo>
                <a:cubicBezTo>
                  <a:pt x="274419" y="1108985"/>
                  <a:pt x="274375" y="1139417"/>
                  <a:pt x="274158" y="1169805"/>
                </a:cubicBezTo>
                <a:cubicBezTo>
                  <a:pt x="273940" y="1200933"/>
                  <a:pt x="255812" y="1219801"/>
                  <a:pt x="224467" y="1220496"/>
                </a:cubicBezTo>
                <a:cubicBezTo>
                  <a:pt x="195470" y="1221148"/>
                  <a:pt x="166516" y="1220627"/>
                  <a:pt x="137563" y="1220670"/>
                </a:cubicBezTo>
                <a:cubicBezTo>
                  <a:pt x="109348" y="1220670"/>
                  <a:pt x="81090" y="1221018"/>
                  <a:pt x="52875" y="1220583"/>
                </a:cubicBezTo>
                <a:cubicBezTo>
                  <a:pt x="18574" y="1220061"/>
                  <a:pt x="576" y="1202063"/>
                  <a:pt x="228" y="1168197"/>
                </a:cubicBezTo>
                <a:cubicBezTo>
                  <a:pt x="-76" y="1138504"/>
                  <a:pt x="-76" y="1108855"/>
                  <a:pt x="228" y="1079162"/>
                </a:cubicBezTo>
                <a:cubicBezTo>
                  <a:pt x="576" y="1048296"/>
                  <a:pt x="16705" y="1028689"/>
                  <a:pt x="47137" y="1027906"/>
                </a:cubicBezTo>
                <a:cubicBezTo>
                  <a:pt x="107174" y="1026341"/>
                  <a:pt x="167299" y="1026298"/>
                  <a:pt x="227336" y="1027515"/>
                </a:cubicBezTo>
                <a:close/>
                <a:moveTo>
                  <a:pt x="378495" y="741500"/>
                </a:moveTo>
                <a:cubicBezTo>
                  <a:pt x="434229" y="741195"/>
                  <a:pt x="489919" y="741152"/>
                  <a:pt x="545653" y="741500"/>
                </a:cubicBezTo>
                <a:cubicBezTo>
                  <a:pt x="582605" y="741717"/>
                  <a:pt x="599256" y="759281"/>
                  <a:pt x="599299" y="796842"/>
                </a:cubicBezTo>
                <a:cubicBezTo>
                  <a:pt x="599343" y="917700"/>
                  <a:pt x="599343" y="1038557"/>
                  <a:pt x="599299" y="1159372"/>
                </a:cubicBezTo>
                <a:cubicBezTo>
                  <a:pt x="599299" y="1204106"/>
                  <a:pt x="582692" y="1220540"/>
                  <a:pt x="537610" y="1220583"/>
                </a:cubicBezTo>
                <a:cubicBezTo>
                  <a:pt x="485528" y="1220626"/>
                  <a:pt x="433403" y="1220713"/>
                  <a:pt x="381321" y="1220540"/>
                </a:cubicBezTo>
                <a:cubicBezTo>
                  <a:pt x="342542" y="1220409"/>
                  <a:pt x="325457" y="1203715"/>
                  <a:pt x="325327" y="1165414"/>
                </a:cubicBezTo>
                <a:cubicBezTo>
                  <a:pt x="325066" y="1104029"/>
                  <a:pt x="325196" y="1042514"/>
                  <a:pt x="325196" y="980998"/>
                </a:cubicBezTo>
                <a:cubicBezTo>
                  <a:pt x="325153" y="918743"/>
                  <a:pt x="324979" y="856532"/>
                  <a:pt x="325240" y="794277"/>
                </a:cubicBezTo>
                <a:cubicBezTo>
                  <a:pt x="325413" y="757759"/>
                  <a:pt x="341542" y="741717"/>
                  <a:pt x="378495" y="741500"/>
                </a:cubicBezTo>
                <a:close/>
                <a:moveTo>
                  <a:pt x="700811" y="521391"/>
                </a:moveTo>
                <a:cubicBezTo>
                  <a:pt x="756588" y="521304"/>
                  <a:pt x="812409" y="521304"/>
                  <a:pt x="868186" y="521522"/>
                </a:cubicBezTo>
                <a:cubicBezTo>
                  <a:pt x="907877" y="521696"/>
                  <a:pt x="922746" y="536868"/>
                  <a:pt x="922789" y="577125"/>
                </a:cubicBezTo>
                <a:cubicBezTo>
                  <a:pt x="922919" y="674941"/>
                  <a:pt x="922832" y="772758"/>
                  <a:pt x="922832" y="870574"/>
                </a:cubicBezTo>
                <a:cubicBezTo>
                  <a:pt x="922746" y="870531"/>
                  <a:pt x="922659" y="870531"/>
                  <a:pt x="922572" y="870531"/>
                </a:cubicBezTo>
                <a:cubicBezTo>
                  <a:pt x="922572" y="969086"/>
                  <a:pt x="922746" y="1067598"/>
                  <a:pt x="922485" y="1166154"/>
                </a:cubicBezTo>
                <a:cubicBezTo>
                  <a:pt x="922398" y="1203976"/>
                  <a:pt x="906052" y="1220192"/>
                  <a:pt x="868055" y="1220453"/>
                </a:cubicBezTo>
                <a:cubicBezTo>
                  <a:pt x="812974" y="1220844"/>
                  <a:pt x="757936" y="1220844"/>
                  <a:pt x="702854" y="1220540"/>
                </a:cubicBezTo>
                <a:cubicBezTo>
                  <a:pt x="667684" y="1220366"/>
                  <a:pt x="648860" y="1201933"/>
                  <a:pt x="648816" y="1166980"/>
                </a:cubicBezTo>
                <a:cubicBezTo>
                  <a:pt x="648599" y="969173"/>
                  <a:pt x="648599" y="771410"/>
                  <a:pt x="648816" y="573604"/>
                </a:cubicBezTo>
                <a:cubicBezTo>
                  <a:pt x="648860" y="538998"/>
                  <a:pt x="666814" y="521435"/>
                  <a:pt x="700811" y="521391"/>
                </a:cubicBezTo>
                <a:close/>
                <a:moveTo>
                  <a:pt x="1029170" y="338844"/>
                </a:moveTo>
                <a:cubicBezTo>
                  <a:pt x="1084947" y="338757"/>
                  <a:pt x="1140724" y="338670"/>
                  <a:pt x="1196501" y="338931"/>
                </a:cubicBezTo>
                <a:cubicBezTo>
                  <a:pt x="1229455" y="339061"/>
                  <a:pt x="1247801" y="357016"/>
                  <a:pt x="1247844" y="389926"/>
                </a:cubicBezTo>
                <a:cubicBezTo>
                  <a:pt x="1248018" y="649248"/>
                  <a:pt x="1247975" y="908527"/>
                  <a:pt x="1247844" y="1167849"/>
                </a:cubicBezTo>
                <a:cubicBezTo>
                  <a:pt x="1247844" y="1201846"/>
                  <a:pt x="1229585" y="1220279"/>
                  <a:pt x="1195501" y="1220540"/>
                </a:cubicBezTo>
                <a:cubicBezTo>
                  <a:pt x="1139029" y="1220974"/>
                  <a:pt x="1082513" y="1220974"/>
                  <a:pt x="1025997" y="1220540"/>
                </a:cubicBezTo>
                <a:cubicBezTo>
                  <a:pt x="992087" y="1220279"/>
                  <a:pt x="973915" y="1201628"/>
                  <a:pt x="973915" y="1167762"/>
                </a:cubicBezTo>
                <a:cubicBezTo>
                  <a:pt x="973741" y="1038166"/>
                  <a:pt x="973828" y="908527"/>
                  <a:pt x="973828" y="778844"/>
                </a:cubicBezTo>
                <a:cubicBezTo>
                  <a:pt x="973828" y="650639"/>
                  <a:pt x="973784" y="522435"/>
                  <a:pt x="973828" y="394230"/>
                </a:cubicBezTo>
                <a:cubicBezTo>
                  <a:pt x="973828" y="355147"/>
                  <a:pt x="990044" y="338931"/>
                  <a:pt x="1029170" y="338844"/>
                </a:cubicBezTo>
                <a:close/>
                <a:moveTo>
                  <a:pt x="1014519" y="226"/>
                </a:moveTo>
                <a:cubicBezTo>
                  <a:pt x="1048125" y="-2426"/>
                  <a:pt x="1063254" y="18441"/>
                  <a:pt x="1049690" y="49177"/>
                </a:cubicBezTo>
                <a:cubicBezTo>
                  <a:pt x="1019649" y="117258"/>
                  <a:pt x="989217" y="185164"/>
                  <a:pt x="958916" y="253114"/>
                </a:cubicBezTo>
                <a:cubicBezTo>
                  <a:pt x="954786" y="262374"/>
                  <a:pt x="951134" y="271851"/>
                  <a:pt x="946309" y="280720"/>
                </a:cubicBezTo>
                <a:cubicBezTo>
                  <a:pt x="933701" y="303935"/>
                  <a:pt x="910616" y="306370"/>
                  <a:pt x="893444" y="286241"/>
                </a:cubicBezTo>
                <a:cubicBezTo>
                  <a:pt x="885967" y="277459"/>
                  <a:pt x="879533" y="267808"/>
                  <a:pt x="871359" y="256766"/>
                </a:cubicBezTo>
                <a:cubicBezTo>
                  <a:pt x="822712" y="292458"/>
                  <a:pt x="774412" y="327759"/>
                  <a:pt x="726243" y="363233"/>
                </a:cubicBezTo>
                <a:cubicBezTo>
                  <a:pt x="532132" y="506132"/>
                  <a:pt x="338108" y="649075"/>
                  <a:pt x="143953" y="791930"/>
                </a:cubicBezTo>
                <a:cubicBezTo>
                  <a:pt x="121042" y="808755"/>
                  <a:pt x="106217" y="806407"/>
                  <a:pt x="89132" y="783236"/>
                </a:cubicBezTo>
                <a:cubicBezTo>
                  <a:pt x="68960" y="755847"/>
                  <a:pt x="49223" y="728154"/>
                  <a:pt x="29138" y="700722"/>
                </a:cubicBezTo>
                <a:cubicBezTo>
                  <a:pt x="8879" y="673073"/>
                  <a:pt x="10836" y="659248"/>
                  <a:pt x="38007" y="639250"/>
                </a:cubicBezTo>
                <a:cubicBezTo>
                  <a:pt x="274114" y="465528"/>
                  <a:pt x="510221" y="291762"/>
                  <a:pt x="746285" y="117997"/>
                </a:cubicBezTo>
                <a:cubicBezTo>
                  <a:pt x="751371" y="114215"/>
                  <a:pt x="756284" y="110085"/>
                  <a:pt x="762109" y="105476"/>
                </a:cubicBezTo>
                <a:cubicBezTo>
                  <a:pt x="754806" y="95086"/>
                  <a:pt x="747850" y="85913"/>
                  <a:pt x="741720" y="76218"/>
                </a:cubicBezTo>
                <a:cubicBezTo>
                  <a:pt x="727113" y="53177"/>
                  <a:pt x="737460" y="29571"/>
                  <a:pt x="764283" y="26701"/>
                </a:cubicBezTo>
                <a:cubicBezTo>
                  <a:pt x="838363" y="18702"/>
                  <a:pt x="912529" y="11572"/>
                  <a:pt x="986609" y="3965"/>
                </a:cubicBezTo>
                <a:cubicBezTo>
                  <a:pt x="995956" y="3008"/>
                  <a:pt x="1005172" y="965"/>
                  <a:pt x="1014519" y="226"/>
                </a:cubicBezTo>
                <a:close/>
              </a:path>
            </a:pathLst>
          </a:custGeom>
          <a:gradFill flip="none" rotWithShape="1">
            <a:gsLst>
              <a:gs pos="40000">
                <a:srgbClr val="9E78F9"/>
              </a:gs>
              <a:gs pos="60000">
                <a:srgbClr val="29BFFB"/>
              </a:gs>
            </a:gsLst>
            <a:lin ang="5400000" scaled="0"/>
            <a:tileRect/>
          </a:gradFill>
          <a:ln w="9525">
            <a:noFill/>
          </a:ln>
          <a:effectLst>
            <a:outerShdw blurRad="190500" dist="127000" dir="5400000" algn="tr" rotWithShape="0">
              <a:srgbClr val="9E78F9">
                <a:alpha val="37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en-US">
              <a:solidFill>
                <a:schemeClr val="lt1"/>
              </a:solidFill>
            </a:endParaRPr>
          </a:p>
        </xdr:txBody>
      </xdr:sp>
    </xdr:grpSp>
    <xdr:clientData/>
  </xdr:twoCellAnchor>
  <xdr:twoCellAnchor>
    <xdr:from>
      <xdr:col>3</xdr:col>
      <xdr:colOff>492464</xdr:colOff>
      <xdr:row>22</xdr:row>
      <xdr:rowOff>85525</xdr:rowOff>
    </xdr:from>
    <xdr:to>
      <xdr:col>12</xdr:col>
      <xdr:colOff>554855</xdr:colOff>
      <xdr:row>35</xdr:row>
      <xdr:rowOff>99237</xdr:rowOff>
    </xdr:to>
    <xdr:sp macro="" textlink="">
      <xdr:nvSpPr>
        <xdr:cNvPr id="53" name="Rectangle: Rounded Corners 52" hidden="1">
          <a:extLst>
            <a:ext uri="{FF2B5EF4-FFF2-40B4-BE49-F238E27FC236}">
              <a16:creationId xmlns:a16="http://schemas.microsoft.com/office/drawing/2014/main" id="{00000000-0008-0000-0200-000035000000}"/>
            </a:ext>
          </a:extLst>
        </xdr:cNvPr>
        <xdr:cNvSpPr/>
      </xdr:nvSpPr>
      <xdr:spPr>
        <a:xfrm>
          <a:off x="2321264" y="4108885"/>
          <a:ext cx="5548791" cy="2391152"/>
        </a:xfrm>
        <a:prstGeom prst="roundRect">
          <a:avLst>
            <a:gd name="adj" fmla="val 11093"/>
          </a:avLst>
        </a:prstGeom>
        <a:gradFill flip="none" rotWithShape="1">
          <a:gsLst>
            <a:gs pos="0">
              <a:srgbClr val="1B2A87">
                <a:alpha val="0"/>
              </a:srgbClr>
            </a:gs>
            <a:gs pos="44000">
              <a:srgbClr val="0A002F">
                <a:alpha val="0"/>
              </a:srgbClr>
            </a:gs>
            <a:gs pos="100000">
              <a:srgbClr val="18013D">
                <a:alpha val="0"/>
              </a:srgbClr>
            </a:gs>
          </a:gsLst>
          <a:lin ang="5400000" scaled="1"/>
          <a:tileRect/>
        </a:gradFill>
        <a:ln w="9525">
          <a:gradFill>
            <a:gsLst>
              <a:gs pos="24000">
                <a:schemeClr val="accent5">
                  <a:lumMod val="75000"/>
                </a:schemeClr>
              </a:gs>
              <a:gs pos="0">
                <a:srgbClr val="2C48D4"/>
              </a:gs>
              <a:gs pos="100000">
                <a:srgbClr val="7030A0"/>
              </a:gs>
              <a:gs pos="49000">
                <a:schemeClr val="accent1">
                  <a:lumMod val="30000"/>
                  <a:lumOff val="70000"/>
                </a:schemeClr>
              </a:gs>
            </a:gsLst>
            <a:lin ang="6000000" scaled="0"/>
          </a:gradFill>
        </a:ln>
        <a:effectLst>
          <a:outerShdw blurRad="889000" dist="254000" dir="18900000" algn="bl" rotWithShape="0">
            <a:srgbClr val="1D3090">
              <a:alpha val="5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0</xdr:col>
      <xdr:colOff>522294</xdr:colOff>
      <xdr:row>18</xdr:row>
      <xdr:rowOff>129564</xdr:rowOff>
    </xdr:from>
    <xdr:to>
      <xdr:col>1</xdr:col>
      <xdr:colOff>105394</xdr:colOff>
      <xdr:row>19</xdr:row>
      <xdr:rowOff>156044</xdr:rowOff>
    </xdr:to>
    <xdr:pic>
      <xdr:nvPicPr>
        <xdr:cNvPr id="56" name="Graphic 80">
          <a:extLst>
            <a:ext uri="{FF2B5EF4-FFF2-40B4-BE49-F238E27FC236}">
              <a16:creationId xmlns:a16="http://schemas.microsoft.com/office/drawing/2014/main" id="{00000000-0008-0000-0200-000038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22294" y="3421404"/>
          <a:ext cx="192700" cy="209360"/>
        </a:xfrm>
        <a:prstGeom prst="rect">
          <a:avLst/>
        </a:prstGeom>
      </xdr:spPr>
    </xdr:pic>
    <xdr:clientData/>
  </xdr:twoCellAnchor>
  <xdr:twoCellAnchor>
    <xdr:from>
      <xdr:col>0</xdr:col>
      <xdr:colOff>369904</xdr:colOff>
      <xdr:row>7</xdr:row>
      <xdr:rowOff>147961</xdr:rowOff>
    </xdr:from>
    <xdr:to>
      <xdr:col>3</xdr:col>
      <xdr:colOff>273729</xdr:colOff>
      <xdr:row>9</xdr:row>
      <xdr:rowOff>118369</xdr:rowOff>
    </xdr:to>
    <xdr:sp macro="" textlink="">
      <xdr:nvSpPr>
        <xdr:cNvPr id="60" name="TextBox 59">
          <a:extLst>
            <a:ext uri="{FF2B5EF4-FFF2-40B4-BE49-F238E27FC236}">
              <a16:creationId xmlns:a16="http://schemas.microsoft.com/office/drawing/2014/main" id="{00000000-0008-0000-0200-00003C000000}"/>
            </a:ext>
          </a:extLst>
        </xdr:cNvPr>
        <xdr:cNvSpPr txBox="1"/>
      </xdr:nvSpPr>
      <xdr:spPr>
        <a:xfrm>
          <a:off x="369904" y="1428121"/>
          <a:ext cx="1732625" cy="336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Marketing Analytics</a:t>
          </a:r>
        </a:p>
      </xdr:txBody>
    </xdr:sp>
    <xdr:clientData/>
  </xdr:twoCellAnchor>
  <xdr:twoCellAnchor>
    <xdr:from>
      <xdr:col>3</xdr:col>
      <xdr:colOff>451282</xdr:colOff>
      <xdr:row>10</xdr:row>
      <xdr:rowOff>177553</xdr:rowOff>
    </xdr:from>
    <xdr:to>
      <xdr:col>9</xdr:col>
      <xdr:colOff>358314</xdr:colOff>
      <xdr:row>21</xdr:row>
      <xdr:rowOff>147961</xdr:rowOff>
    </xdr:to>
    <xdr:graphicFrame macro="">
      <xdr:nvGraphicFramePr>
        <xdr:cNvPr id="92" name="Chart 91" hidden="1">
          <a:extLst>
            <a:ext uri="{FF2B5EF4-FFF2-40B4-BE49-F238E27FC236}">
              <a16:creationId xmlns:a16="http://schemas.microsoft.com/office/drawing/2014/main" id="{00000000-0008-0000-0200-00005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347709</xdr:colOff>
      <xdr:row>13</xdr:row>
      <xdr:rowOff>162757</xdr:rowOff>
    </xdr:from>
    <xdr:to>
      <xdr:col>3</xdr:col>
      <xdr:colOff>362505</xdr:colOff>
      <xdr:row>16</xdr:row>
      <xdr:rowOff>110971</xdr:rowOff>
    </xdr:to>
    <xdr:sp macro="" textlink="">
      <xdr:nvSpPr>
        <xdr:cNvPr id="120" name="Rectangle 119">
          <a:hlinkClick xmlns:r="http://schemas.openxmlformats.org/officeDocument/2006/relationships" r:id="rId10"/>
          <a:extLst>
            <a:ext uri="{FF2B5EF4-FFF2-40B4-BE49-F238E27FC236}">
              <a16:creationId xmlns:a16="http://schemas.microsoft.com/office/drawing/2014/main" id="{00000000-0008-0000-0200-000078000000}"/>
            </a:ext>
          </a:extLst>
        </xdr:cNvPr>
        <xdr:cNvSpPr/>
      </xdr:nvSpPr>
      <xdr:spPr>
        <a:xfrm>
          <a:off x="347709" y="2540197"/>
          <a:ext cx="1843596" cy="4968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347709</xdr:colOff>
      <xdr:row>18</xdr:row>
      <xdr:rowOff>7398</xdr:rowOff>
    </xdr:from>
    <xdr:to>
      <xdr:col>3</xdr:col>
      <xdr:colOff>362505</xdr:colOff>
      <xdr:row>20</xdr:row>
      <xdr:rowOff>140563</xdr:rowOff>
    </xdr:to>
    <xdr:sp macro="" textlink="">
      <xdr:nvSpPr>
        <xdr:cNvPr id="121" name="Rectangle 120">
          <a:hlinkClick xmlns:r="http://schemas.openxmlformats.org/officeDocument/2006/relationships" r:id="rId11"/>
          <a:extLst>
            <a:ext uri="{FF2B5EF4-FFF2-40B4-BE49-F238E27FC236}">
              <a16:creationId xmlns:a16="http://schemas.microsoft.com/office/drawing/2014/main" id="{00000000-0008-0000-0200-000079000000}"/>
            </a:ext>
          </a:extLst>
        </xdr:cNvPr>
        <xdr:cNvSpPr/>
      </xdr:nvSpPr>
      <xdr:spPr>
        <a:xfrm>
          <a:off x="347709" y="3299238"/>
          <a:ext cx="1843596" cy="4989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347709</xdr:colOff>
      <xdr:row>10</xdr:row>
      <xdr:rowOff>59184</xdr:rowOff>
    </xdr:from>
    <xdr:to>
      <xdr:col>3</xdr:col>
      <xdr:colOff>362505</xdr:colOff>
      <xdr:row>13</xdr:row>
      <xdr:rowOff>7398</xdr:rowOff>
    </xdr:to>
    <xdr:sp macro="" textlink="">
      <xdr:nvSpPr>
        <xdr:cNvPr id="124" name="Rectangle 123">
          <a:hlinkClick xmlns:r="http://schemas.openxmlformats.org/officeDocument/2006/relationships" r:id="rId12"/>
          <a:extLst>
            <a:ext uri="{FF2B5EF4-FFF2-40B4-BE49-F238E27FC236}">
              <a16:creationId xmlns:a16="http://schemas.microsoft.com/office/drawing/2014/main" id="{00000000-0008-0000-0200-00007C000000}"/>
            </a:ext>
          </a:extLst>
        </xdr:cNvPr>
        <xdr:cNvSpPr/>
      </xdr:nvSpPr>
      <xdr:spPr>
        <a:xfrm>
          <a:off x="347709" y="1908699"/>
          <a:ext cx="1834718" cy="50306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347709</xdr:colOff>
      <xdr:row>21</xdr:row>
      <xdr:rowOff>125766</xdr:rowOff>
    </xdr:from>
    <xdr:to>
      <xdr:col>3</xdr:col>
      <xdr:colOff>362505</xdr:colOff>
      <xdr:row>24</xdr:row>
      <xdr:rowOff>73980</xdr:rowOff>
    </xdr:to>
    <xdr:sp macro="" textlink="">
      <xdr:nvSpPr>
        <xdr:cNvPr id="125" name="Rectangle 124">
          <a:hlinkClick xmlns:r="http://schemas.openxmlformats.org/officeDocument/2006/relationships" r:id="rId13"/>
          <a:extLst>
            <a:ext uri="{FF2B5EF4-FFF2-40B4-BE49-F238E27FC236}">
              <a16:creationId xmlns:a16="http://schemas.microsoft.com/office/drawing/2014/main" id="{00000000-0008-0000-0200-00007D000000}"/>
            </a:ext>
          </a:extLst>
        </xdr:cNvPr>
        <xdr:cNvSpPr/>
      </xdr:nvSpPr>
      <xdr:spPr>
        <a:xfrm>
          <a:off x="347709" y="4009747"/>
          <a:ext cx="1834718" cy="50306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18499</xdr:colOff>
      <xdr:row>2</xdr:row>
      <xdr:rowOff>55774</xdr:rowOff>
    </xdr:from>
    <xdr:to>
      <xdr:col>22</xdr:col>
      <xdr:colOff>125767</xdr:colOff>
      <xdr:row>4</xdr:row>
      <xdr:rowOff>149978</xdr:rowOff>
    </xdr:to>
    <xdr:sp macro="" textlink="">
      <xdr:nvSpPr>
        <xdr:cNvPr id="126" name="Rectangle: Rounded Corners 125">
          <a:extLst>
            <a:ext uri="{FF2B5EF4-FFF2-40B4-BE49-F238E27FC236}">
              <a16:creationId xmlns:a16="http://schemas.microsoft.com/office/drawing/2014/main" id="{00000000-0008-0000-0200-00007E000000}"/>
            </a:ext>
          </a:extLst>
        </xdr:cNvPr>
        <xdr:cNvSpPr/>
      </xdr:nvSpPr>
      <xdr:spPr>
        <a:xfrm>
          <a:off x="2445062" y="425677"/>
          <a:ext cx="11026802" cy="464107"/>
        </a:xfrm>
        <a:prstGeom prst="roundRect">
          <a:avLst>
            <a:gd name="adj" fmla="val 50000"/>
          </a:avLst>
        </a:prstGeom>
        <a:solidFill>
          <a:schemeClr val="tx2">
            <a:lumMod val="50000"/>
            <a:alpha val="50000"/>
          </a:schemeClr>
        </a:solidFill>
        <a:ln>
          <a:noFill/>
        </a:ln>
        <a:effectLst>
          <a:innerShdw blurRad="114300">
            <a:prstClr val="black">
              <a:alpha val="44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en-US" sz="1100" kern="1200">
            <a:solidFill>
              <a:schemeClr val="lt1"/>
            </a:solidFill>
            <a:latin typeface="+mn-lt"/>
            <a:ea typeface="+mn-ea"/>
            <a:cs typeface="+mn-cs"/>
          </a:endParaRPr>
        </a:p>
      </xdr:txBody>
    </xdr:sp>
    <xdr:clientData/>
  </xdr:twoCellAnchor>
  <xdr:twoCellAnchor>
    <xdr:from>
      <xdr:col>6</xdr:col>
      <xdr:colOff>318613</xdr:colOff>
      <xdr:row>2</xdr:row>
      <xdr:rowOff>41900</xdr:rowOff>
    </xdr:from>
    <xdr:to>
      <xdr:col>17</xdr:col>
      <xdr:colOff>403301</xdr:colOff>
      <xdr:row>4</xdr:row>
      <xdr:rowOff>140010</xdr:rowOff>
    </xdr:to>
    <xdr:sp macro="" textlink="">
      <xdr:nvSpPr>
        <xdr:cNvPr id="127" name="TextBox 50">
          <a:extLst>
            <a:ext uri="{FF2B5EF4-FFF2-40B4-BE49-F238E27FC236}">
              <a16:creationId xmlns:a16="http://schemas.microsoft.com/office/drawing/2014/main" id="{00000000-0008-0000-0200-00007F000000}"/>
            </a:ext>
          </a:extLst>
        </xdr:cNvPr>
        <xdr:cNvSpPr txBox="1"/>
      </xdr:nvSpPr>
      <xdr:spPr>
        <a:xfrm>
          <a:off x="3958458" y="411803"/>
          <a:ext cx="6757736" cy="46801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a:solidFill>
                <a:schemeClr val="bg1"/>
              </a:solidFill>
              <a:effectLst>
                <a:outerShdw blurRad="50800" dist="38100" dir="2700000" algn="tl" rotWithShape="0">
                  <a:prstClr val="black">
                    <a:alpha val="40000"/>
                  </a:prstClr>
                </a:outerShdw>
              </a:effectLst>
            </a:rPr>
            <a:t>Business Decisions &amp; Recommendations</a:t>
          </a:r>
        </a:p>
      </xdr:txBody>
    </xdr:sp>
    <xdr:clientData/>
  </xdr:twoCellAnchor>
  <xdr:twoCellAnchor>
    <xdr:from>
      <xdr:col>4</xdr:col>
      <xdr:colOff>1210</xdr:colOff>
      <xdr:row>6</xdr:row>
      <xdr:rowOff>184864</xdr:rowOff>
    </xdr:from>
    <xdr:to>
      <xdr:col>8</xdr:col>
      <xdr:colOff>569651</xdr:colOff>
      <xdr:row>9</xdr:row>
      <xdr:rowOff>30120</xdr:rowOff>
    </xdr:to>
    <xdr:sp macro="" textlink="">
      <xdr:nvSpPr>
        <xdr:cNvPr id="6146" name="TextBox 50">
          <a:extLst>
            <a:ext uri="{FF2B5EF4-FFF2-40B4-BE49-F238E27FC236}">
              <a16:creationId xmlns:a16="http://schemas.microsoft.com/office/drawing/2014/main" id="{00000000-0008-0000-0200-000002180000}"/>
            </a:ext>
          </a:extLst>
        </xdr:cNvPr>
        <xdr:cNvSpPr txBox="1"/>
      </xdr:nvSpPr>
      <xdr:spPr>
        <a:xfrm>
          <a:off x="2427773" y="1294573"/>
          <a:ext cx="2995004" cy="400110"/>
        </a:xfrm>
        <a:prstGeom prst="rect">
          <a:avLst/>
        </a:prstGeom>
        <a:noFill/>
      </xdr:spPr>
      <xdr:txBody>
        <a:bodyPr wrap="square" rtlCol="0"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2000" b="0" kern="1200">
              <a:solidFill>
                <a:srgbClr val="24F6F7"/>
              </a:solidFill>
              <a:effectLst>
                <a:outerShdw blurRad="50800" dist="38100" dir="8100000" algn="tr" rotWithShape="0">
                  <a:prstClr val="black">
                    <a:alpha val="40000"/>
                  </a:prstClr>
                </a:outerShdw>
              </a:effectLst>
              <a:latin typeface="Lato Black" panose="020F0A02020204030203" pitchFamily="34" charset="0"/>
              <a:ea typeface="+mn-ea"/>
              <a:cs typeface="+mn-cs"/>
            </a:rPr>
            <a:t>Business Problems:</a:t>
          </a:r>
        </a:p>
      </xdr:txBody>
    </xdr:sp>
    <xdr:clientData/>
  </xdr:twoCellAnchor>
  <xdr:twoCellAnchor>
    <xdr:from>
      <xdr:col>10</xdr:col>
      <xdr:colOff>51049</xdr:colOff>
      <xdr:row>5</xdr:row>
      <xdr:rowOff>113085</xdr:rowOff>
    </xdr:from>
    <xdr:to>
      <xdr:col>14</xdr:col>
      <xdr:colOff>425171</xdr:colOff>
      <xdr:row>7</xdr:row>
      <xdr:rowOff>148614</xdr:rowOff>
    </xdr:to>
    <xdr:sp macro="" textlink="">
      <xdr:nvSpPr>
        <xdr:cNvPr id="6147" name="TextBox 50">
          <a:extLst>
            <a:ext uri="{FF2B5EF4-FFF2-40B4-BE49-F238E27FC236}">
              <a16:creationId xmlns:a16="http://schemas.microsoft.com/office/drawing/2014/main" id="{00000000-0008-0000-0200-000003180000}"/>
            </a:ext>
          </a:extLst>
        </xdr:cNvPr>
        <xdr:cNvSpPr txBox="1"/>
      </xdr:nvSpPr>
      <xdr:spPr>
        <a:xfrm>
          <a:off x="6117457" y="1037842"/>
          <a:ext cx="2800685" cy="405432"/>
        </a:xfrm>
        <a:prstGeom prst="rect">
          <a:avLst/>
        </a:prstGeom>
        <a:noFill/>
      </xdr:spPr>
      <xdr:txBody>
        <a:bodyPr wrap="square" rtlCol="0"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r>
            <a:rPr lang="en-US" sz="2000" b="0" kern="1200">
              <a:solidFill>
                <a:schemeClr val="bg1"/>
              </a:solidFill>
              <a:effectLst/>
              <a:latin typeface="+mn-lt"/>
              <a:ea typeface="+mn-ea"/>
              <a:cs typeface="+mn-cs"/>
            </a:rPr>
            <a:t>Descriptive Analysis:</a:t>
          </a:r>
        </a:p>
      </xdr:txBody>
    </xdr:sp>
    <xdr:clientData/>
  </xdr:twoCellAnchor>
  <xdr:twoCellAnchor>
    <xdr:from>
      <xdr:col>10</xdr:col>
      <xdr:colOff>192424</xdr:colOff>
      <xdr:row>7</xdr:row>
      <xdr:rowOff>39564</xdr:rowOff>
    </xdr:from>
    <xdr:to>
      <xdr:col>14</xdr:col>
      <xdr:colOff>392097</xdr:colOff>
      <xdr:row>8</xdr:row>
      <xdr:rowOff>134817</xdr:rowOff>
    </xdr:to>
    <xdr:sp macro="" textlink="">
      <xdr:nvSpPr>
        <xdr:cNvPr id="6148" name="TextBox 50">
          <a:extLst>
            <a:ext uri="{FF2B5EF4-FFF2-40B4-BE49-F238E27FC236}">
              <a16:creationId xmlns:a16="http://schemas.microsoft.com/office/drawing/2014/main" id="{00000000-0008-0000-0200-000004180000}"/>
            </a:ext>
          </a:extLst>
        </xdr:cNvPr>
        <xdr:cNvSpPr txBox="1"/>
      </xdr:nvSpPr>
      <xdr:spPr>
        <a:xfrm>
          <a:off x="6258832" y="1334224"/>
          <a:ext cx="2626236" cy="280205"/>
        </a:xfrm>
        <a:prstGeom prst="rect">
          <a:avLst/>
        </a:prstGeom>
        <a:noFill/>
      </xdr:spPr>
      <xdr:txBody>
        <a:bodyPr wrap="square" rtlCol="0"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kern="1200">
              <a:solidFill>
                <a:srgbClr val="FFC409"/>
              </a:solidFill>
              <a:effectLst/>
              <a:latin typeface="+mn-lt"/>
              <a:ea typeface="+mn-ea"/>
              <a:cs typeface="+mn-cs"/>
            </a:rPr>
            <a:t>(January 2023 - December 2024)</a:t>
          </a:r>
        </a:p>
      </xdr:txBody>
    </xdr:sp>
    <xdr:clientData/>
  </xdr:twoCellAnchor>
  <xdr:oneCellAnchor>
    <xdr:from>
      <xdr:col>3</xdr:col>
      <xdr:colOff>587070</xdr:colOff>
      <xdr:row>9</xdr:row>
      <xdr:rowOff>3122</xdr:rowOff>
    </xdr:from>
    <xdr:ext cx="9954491" cy="1031693"/>
    <xdr:sp macro="" textlink="">
      <xdr:nvSpPr>
        <xdr:cNvPr id="6149" name="TextBox 6148">
          <a:extLst>
            <a:ext uri="{FF2B5EF4-FFF2-40B4-BE49-F238E27FC236}">
              <a16:creationId xmlns:a16="http://schemas.microsoft.com/office/drawing/2014/main" id="{00000000-0008-0000-0200-000005180000}"/>
            </a:ext>
          </a:extLst>
        </xdr:cNvPr>
        <xdr:cNvSpPr txBox="1"/>
      </xdr:nvSpPr>
      <xdr:spPr>
        <a:xfrm>
          <a:off x="2406992" y="1667685"/>
          <a:ext cx="9954491" cy="1031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bg1"/>
              </a:solidFill>
              <a:latin typeface="+mn-lt"/>
              <a:ea typeface="+mn-ea"/>
              <a:cs typeface="+mn-cs"/>
            </a:rPr>
            <a:t>• The business was struggling to identify which marketing channels were generating the highest revenue and conversions.</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bg1"/>
              </a:solidFill>
              <a:latin typeface="+mn-lt"/>
              <a:ea typeface="+mn-ea"/>
              <a:cs typeface="+mn-cs"/>
            </a:rPr>
            <a:t>• It was difficult to measure which campaigns were driving strong business growth and which campaigns were underperforming.</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bg1"/>
              </a:solidFill>
              <a:latin typeface="+mn-lt"/>
              <a:ea typeface="+mn-ea"/>
              <a:cs typeface="+mn-cs"/>
            </a:rPr>
            <a:t>• The company lacked clear visibility into campaign profitability and overall marketing ROI.</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bg1"/>
              </a:solidFill>
              <a:latin typeface="+mn-lt"/>
              <a:ea typeface="+mn-ea"/>
              <a:cs typeface="+mn-cs"/>
            </a:rPr>
            <a:t>• Regional performance differences were not clearly identified, making it difficult to optimize marketing strategies across markets.</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bg1"/>
              </a:solidFill>
              <a:latin typeface="+mn-lt"/>
              <a:ea typeface="+mn-ea"/>
              <a:cs typeface="+mn-cs"/>
            </a:rPr>
            <a:t>• The business needed better understanding of customer demand across different product categories.</a:t>
          </a:r>
        </a:p>
      </xdr:txBody>
    </xdr:sp>
    <xdr:clientData/>
  </xdr:oneCellAnchor>
  <xdr:twoCellAnchor>
    <xdr:from>
      <xdr:col>4</xdr:col>
      <xdr:colOff>100745</xdr:colOff>
      <xdr:row>15</xdr:row>
      <xdr:rowOff>43155</xdr:rowOff>
    </xdr:from>
    <xdr:to>
      <xdr:col>20</xdr:col>
      <xdr:colOff>87132</xdr:colOff>
      <xdr:row>15</xdr:row>
      <xdr:rowOff>43155</xdr:rowOff>
    </xdr:to>
    <xdr:cxnSp macro="">
      <xdr:nvCxnSpPr>
        <xdr:cNvPr id="6150" name="Straight Connector 6149">
          <a:extLst>
            <a:ext uri="{FF2B5EF4-FFF2-40B4-BE49-F238E27FC236}">
              <a16:creationId xmlns:a16="http://schemas.microsoft.com/office/drawing/2014/main" id="{00000000-0008-0000-0200-000006180000}"/>
            </a:ext>
          </a:extLst>
        </xdr:cNvPr>
        <xdr:cNvCxnSpPr/>
      </xdr:nvCxnSpPr>
      <xdr:spPr>
        <a:xfrm>
          <a:off x="2527308" y="2817427"/>
          <a:ext cx="9692640" cy="0"/>
        </a:xfrm>
        <a:prstGeom prst="line">
          <a:avLst/>
        </a:prstGeom>
        <a:ln>
          <a:solidFill>
            <a:srgbClr val="81C0FF"/>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1210</xdr:colOff>
      <xdr:row>15</xdr:row>
      <xdr:rowOff>44582</xdr:rowOff>
    </xdr:from>
    <xdr:to>
      <xdr:col>8</xdr:col>
      <xdr:colOff>569651</xdr:colOff>
      <xdr:row>17</xdr:row>
      <xdr:rowOff>89023</xdr:rowOff>
    </xdr:to>
    <xdr:sp macro="" textlink="">
      <xdr:nvSpPr>
        <xdr:cNvPr id="6156" name="TextBox 50">
          <a:extLst>
            <a:ext uri="{FF2B5EF4-FFF2-40B4-BE49-F238E27FC236}">
              <a16:creationId xmlns:a16="http://schemas.microsoft.com/office/drawing/2014/main" id="{00000000-0008-0000-0200-00000C180000}"/>
            </a:ext>
          </a:extLst>
        </xdr:cNvPr>
        <xdr:cNvSpPr txBox="1"/>
      </xdr:nvSpPr>
      <xdr:spPr>
        <a:xfrm>
          <a:off x="2427773" y="2818854"/>
          <a:ext cx="2995004" cy="414344"/>
        </a:xfrm>
        <a:prstGeom prst="rect">
          <a:avLst/>
        </a:prstGeom>
        <a:noFill/>
      </xdr:spPr>
      <xdr:txBody>
        <a:bodyPr wrap="square" rtlCol="0"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2000" b="0" kern="1200">
              <a:solidFill>
                <a:srgbClr val="24F6F7"/>
              </a:solidFill>
              <a:effectLst>
                <a:outerShdw blurRad="50800" dist="38100" dir="8100000" algn="tr" rotWithShape="0">
                  <a:prstClr val="black">
                    <a:alpha val="40000"/>
                  </a:prstClr>
                </a:outerShdw>
              </a:effectLst>
              <a:latin typeface="Lato Black" panose="020F0A02020204030203" pitchFamily="34" charset="0"/>
              <a:ea typeface="+mn-ea"/>
              <a:cs typeface="+mn-cs"/>
            </a:rPr>
            <a:t>Key Insights:</a:t>
          </a:r>
        </a:p>
      </xdr:txBody>
    </xdr:sp>
    <xdr:clientData/>
  </xdr:twoCellAnchor>
  <xdr:oneCellAnchor>
    <xdr:from>
      <xdr:col>3</xdr:col>
      <xdr:colOff>587070</xdr:colOff>
      <xdr:row>17</xdr:row>
      <xdr:rowOff>54908</xdr:rowOff>
    </xdr:from>
    <xdr:ext cx="9954491" cy="1219565"/>
    <xdr:sp macro="" textlink="">
      <xdr:nvSpPr>
        <xdr:cNvPr id="6157" name="TextBox 6156">
          <a:extLst>
            <a:ext uri="{FF2B5EF4-FFF2-40B4-BE49-F238E27FC236}">
              <a16:creationId xmlns:a16="http://schemas.microsoft.com/office/drawing/2014/main" id="{00000000-0008-0000-0200-00000D180000}"/>
            </a:ext>
          </a:extLst>
        </xdr:cNvPr>
        <xdr:cNvSpPr txBox="1"/>
      </xdr:nvSpPr>
      <xdr:spPr>
        <a:xfrm>
          <a:off x="2406992" y="3199083"/>
          <a:ext cx="9954491" cy="12195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bg1"/>
              </a:solidFill>
              <a:latin typeface="+mn-lt"/>
              <a:ea typeface="+mn-ea"/>
              <a:cs typeface="+mn-cs"/>
            </a:rPr>
            <a:t>• Revenue performance improved significantly in 2024.</a:t>
          </a:r>
          <a:br>
            <a:rPr lang="en-US" sz="1200">
              <a:solidFill>
                <a:schemeClr val="bg1"/>
              </a:solidFill>
              <a:latin typeface="+mn-lt"/>
              <a:ea typeface="+mn-ea"/>
              <a:cs typeface="+mn-cs"/>
            </a:rPr>
          </a:br>
          <a:r>
            <a:rPr lang="en-US" sz="1200">
              <a:solidFill>
                <a:schemeClr val="bg1"/>
              </a:solidFill>
              <a:latin typeface="+mn-lt"/>
              <a:ea typeface="+mn-ea"/>
              <a:cs typeface="+mn-cs"/>
            </a:rPr>
            <a:t>• Email marketing is the strongest-performing channel.</a:t>
          </a:r>
          <a:br>
            <a:rPr lang="en-US" sz="1200">
              <a:solidFill>
                <a:schemeClr val="bg1"/>
              </a:solidFill>
              <a:latin typeface="+mn-lt"/>
              <a:ea typeface="+mn-ea"/>
              <a:cs typeface="+mn-cs"/>
            </a:rPr>
          </a:br>
          <a:r>
            <a:rPr lang="en-US" sz="1200">
              <a:solidFill>
                <a:schemeClr val="bg1"/>
              </a:solidFill>
              <a:latin typeface="+mn-lt"/>
              <a:ea typeface="+mn-ea"/>
              <a:cs typeface="+mn-cs"/>
            </a:rPr>
            <a:t>• Summer Sale Campaign is the top revenue-generating campaign.</a:t>
          </a:r>
          <a:br>
            <a:rPr lang="en-US" sz="1200">
              <a:solidFill>
                <a:schemeClr val="bg1"/>
              </a:solidFill>
              <a:latin typeface="+mn-lt"/>
              <a:ea typeface="+mn-ea"/>
              <a:cs typeface="+mn-cs"/>
            </a:rPr>
          </a:br>
          <a:r>
            <a:rPr lang="en-US" sz="1200">
              <a:solidFill>
                <a:schemeClr val="bg1"/>
              </a:solidFill>
              <a:latin typeface="+mn-lt"/>
              <a:ea typeface="+mn-ea"/>
              <a:cs typeface="+mn-cs"/>
            </a:rPr>
            <a:t>• Brand Awareness campaigns are delivering the highest ROI.</a:t>
          </a:r>
          <a:br>
            <a:rPr lang="en-US" sz="1200">
              <a:solidFill>
                <a:schemeClr val="bg1"/>
              </a:solidFill>
              <a:latin typeface="+mn-lt"/>
              <a:ea typeface="+mn-ea"/>
              <a:cs typeface="+mn-cs"/>
            </a:rPr>
          </a:br>
          <a:r>
            <a:rPr lang="en-US" sz="1200">
              <a:solidFill>
                <a:schemeClr val="bg1"/>
              </a:solidFill>
              <a:latin typeface="+mn-lt"/>
              <a:ea typeface="+mn-ea"/>
              <a:cs typeface="+mn-cs"/>
            </a:rPr>
            <a:t>• South region contributes the highest revenue.</a:t>
          </a:r>
          <a:br>
            <a:rPr lang="en-US" sz="1200">
              <a:solidFill>
                <a:schemeClr val="bg1"/>
              </a:solidFill>
              <a:latin typeface="+mn-lt"/>
              <a:ea typeface="+mn-ea"/>
              <a:cs typeface="+mn-cs"/>
            </a:rPr>
          </a:br>
          <a:r>
            <a:rPr lang="en-US" sz="1200">
              <a:solidFill>
                <a:schemeClr val="bg1"/>
              </a:solidFill>
              <a:latin typeface="+mn-lt"/>
              <a:ea typeface="+mn-ea"/>
              <a:cs typeface="+mn-cs"/>
            </a:rPr>
            <a:t>• Electronics is the best-performing product category.</a:t>
          </a:r>
        </a:p>
      </xdr:txBody>
    </xdr:sp>
    <xdr:clientData/>
  </xdr:oneCellAnchor>
  <xdr:twoCellAnchor>
    <xdr:from>
      <xdr:col>4</xdr:col>
      <xdr:colOff>23405</xdr:colOff>
      <xdr:row>24</xdr:row>
      <xdr:rowOff>22388</xdr:rowOff>
    </xdr:from>
    <xdr:to>
      <xdr:col>8</xdr:col>
      <xdr:colOff>591846</xdr:colOff>
      <xdr:row>26</xdr:row>
      <xdr:rowOff>66829</xdr:rowOff>
    </xdr:to>
    <xdr:sp macro="" textlink="">
      <xdr:nvSpPr>
        <xdr:cNvPr id="6158" name="TextBox 50">
          <a:extLst>
            <a:ext uri="{FF2B5EF4-FFF2-40B4-BE49-F238E27FC236}">
              <a16:creationId xmlns:a16="http://schemas.microsoft.com/office/drawing/2014/main" id="{00000000-0008-0000-0200-00000E180000}"/>
            </a:ext>
          </a:extLst>
        </xdr:cNvPr>
        <xdr:cNvSpPr txBox="1"/>
      </xdr:nvSpPr>
      <xdr:spPr>
        <a:xfrm>
          <a:off x="2449968" y="4461223"/>
          <a:ext cx="2995004" cy="414344"/>
        </a:xfrm>
        <a:prstGeom prst="rect">
          <a:avLst/>
        </a:prstGeom>
        <a:noFill/>
      </xdr:spPr>
      <xdr:txBody>
        <a:bodyPr wrap="square" rtlCol="0"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2000" b="0" kern="1200">
              <a:solidFill>
                <a:srgbClr val="24F6F7"/>
              </a:solidFill>
              <a:effectLst>
                <a:outerShdw blurRad="50800" dist="38100" dir="8100000" algn="tr" rotWithShape="0">
                  <a:prstClr val="black">
                    <a:alpha val="40000"/>
                  </a:prstClr>
                </a:outerShdw>
              </a:effectLst>
              <a:latin typeface="Lato Black" panose="020F0A02020204030203" pitchFamily="34" charset="0"/>
              <a:ea typeface="+mn-ea"/>
              <a:cs typeface="+mn-cs"/>
            </a:rPr>
            <a:t>Recommendations:</a:t>
          </a:r>
        </a:p>
      </xdr:txBody>
    </xdr:sp>
    <xdr:clientData/>
  </xdr:twoCellAnchor>
  <xdr:oneCellAnchor>
    <xdr:from>
      <xdr:col>3</xdr:col>
      <xdr:colOff>587070</xdr:colOff>
      <xdr:row>26</xdr:row>
      <xdr:rowOff>32714</xdr:rowOff>
    </xdr:from>
    <xdr:ext cx="9954491" cy="1219565"/>
    <xdr:sp macro="" textlink="">
      <xdr:nvSpPr>
        <xdr:cNvPr id="6159" name="TextBox 6158">
          <a:extLst>
            <a:ext uri="{FF2B5EF4-FFF2-40B4-BE49-F238E27FC236}">
              <a16:creationId xmlns:a16="http://schemas.microsoft.com/office/drawing/2014/main" id="{00000000-0008-0000-0200-00000F180000}"/>
            </a:ext>
          </a:extLst>
        </xdr:cNvPr>
        <xdr:cNvSpPr txBox="1"/>
      </xdr:nvSpPr>
      <xdr:spPr>
        <a:xfrm>
          <a:off x="2406992" y="4841452"/>
          <a:ext cx="9954491" cy="12195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bg1"/>
              </a:solidFill>
              <a:latin typeface="+mn-lt"/>
              <a:ea typeface="+mn-ea"/>
              <a:cs typeface="+mn-cs"/>
            </a:rPr>
            <a:t>• Continue investing in high-performing campaigns and channels.</a:t>
          </a:r>
          <a:br>
            <a:rPr lang="en-US" sz="1200">
              <a:solidFill>
                <a:schemeClr val="bg1"/>
              </a:solidFill>
              <a:latin typeface="+mn-lt"/>
              <a:ea typeface="+mn-ea"/>
              <a:cs typeface="+mn-cs"/>
            </a:rPr>
          </a:br>
          <a:r>
            <a:rPr lang="en-US" sz="1200">
              <a:solidFill>
                <a:schemeClr val="bg1"/>
              </a:solidFill>
              <a:latin typeface="+mn-lt"/>
              <a:ea typeface="+mn-ea"/>
              <a:cs typeface="+mn-cs"/>
            </a:rPr>
            <a:t>• Increase focus on retargeting and customer engagement strategies.</a:t>
          </a:r>
          <a:br>
            <a:rPr lang="en-US" sz="1200">
              <a:solidFill>
                <a:schemeClr val="bg1"/>
              </a:solidFill>
              <a:latin typeface="+mn-lt"/>
              <a:ea typeface="+mn-ea"/>
              <a:cs typeface="+mn-cs"/>
            </a:rPr>
          </a:br>
          <a:r>
            <a:rPr lang="en-US" sz="1200">
              <a:solidFill>
                <a:schemeClr val="bg1"/>
              </a:solidFill>
              <a:latin typeface="+mn-lt"/>
              <a:ea typeface="+mn-ea"/>
              <a:cs typeface="+mn-cs"/>
            </a:rPr>
            <a:t>• Allocate more budget toward high-ROI campaigns.</a:t>
          </a:r>
          <a:br>
            <a:rPr lang="en-US" sz="1200">
              <a:solidFill>
                <a:schemeClr val="bg1"/>
              </a:solidFill>
              <a:latin typeface="+mn-lt"/>
              <a:ea typeface="+mn-ea"/>
              <a:cs typeface="+mn-cs"/>
            </a:rPr>
          </a:br>
          <a:r>
            <a:rPr lang="en-US" sz="1200">
              <a:solidFill>
                <a:schemeClr val="bg1"/>
              </a:solidFill>
              <a:latin typeface="+mn-lt"/>
              <a:ea typeface="+mn-ea"/>
              <a:cs typeface="+mn-cs"/>
            </a:rPr>
            <a:t>• Improve performance in lower-performing regions and categories.</a:t>
          </a:r>
          <a:br>
            <a:rPr lang="en-US" sz="1200">
              <a:solidFill>
                <a:schemeClr val="bg1"/>
              </a:solidFill>
              <a:latin typeface="+mn-lt"/>
              <a:ea typeface="+mn-ea"/>
              <a:cs typeface="+mn-cs"/>
            </a:rPr>
          </a:br>
          <a:r>
            <a:rPr lang="en-US" sz="1200">
              <a:solidFill>
                <a:schemeClr val="bg1"/>
              </a:solidFill>
              <a:latin typeface="+mn-lt"/>
              <a:ea typeface="+mn-ea"/>
              <a:cs typeface="+mn-cs"/>
            </a:rPr>
            <a:t>• Repeat successful strategies used during peak campaign periods.</a:t>
          </a:r>
          <a:br>
            <a:rPr lang="en-US" sz="1200">
              <a:solidFill>
                <a:schemeClr val="bg1"/>
              </a:solidFill>
              <a:latin typeface="+mn-lt"/>
              <a:ea typeface="+mn-ea"/>
              <a:cs typeface="+mn-cs"/>
            </a:rPr>
          </a:br>
          <a:r>
            <a:rPr lang="en-US" sz="1200">
              <a:solidFill>
                <a:schemeClr val="bg1"/>
              </a:solidFill>
              <a:latin typeface="+mn-lt"/>
              <a:ea typeface="+mn-ea"/>
              <a:cs typeface="+mn-cs"/>
            </a:rPr>
            <a:t>• Optimize campaign targeting to improve profitability and conversions.</a:t>
          </a:r>
        </a:p>
      </xdr:txBody>
    </xdr:sp>
    <xdr:clientData/>
  </xdr:oneCellAnchor>
  <xdr:twoCellAnchor>
    <xdr:from>
      <xdr:col>4</xdr:col>
      <xdr:colOff>100745</xdr:colOff>
      <xdr:row>24</xdr:row>
      <xdr:rowOff>13563</xdr:rowOff>
    </xdr:from>
    <xdr:to>
      <xdr:col>20</xdr:col>
      <xdr:colOff>87132</xdr:colOff>
      <xdr:row>24</xdr:row>
      <xdr:rowOff>13563</xdr:rowOff>
    </xdr:to>
    <xdr:cxnSp macro="">
      <xdr:nvCxnSpPr>
        <xdr:cNvPr id="6160" name="Straight Connector 6159">
          <a:extLst>
            <a:ext uri="{FF2B5EF4-FFF2-40B4-BE49-F238E27FC236}">
              <a16:creationId xmlns:a16="http://schemas.microsoft.com/office/drawing/2014/main" id="{00000000-0008-0000-0200-000010180000}"/>
            </a:ext>
          </a:extLst>
        </xdr:cNvPr>
        <xdr:cNvCxnSpPr/>
      </xdr:nvCxnSpPr>
      <xdr:spPr>
        <a:xfrm>
          <a:off x="2527308" y="4452398"/>
          <a:ext cx="9692640" cy="0"/>
        </a:xfrm>
        <a:prstGeom prst="line">
          <a:avLst/>
        </a:prstGeom>
        <a:ln>
          <a:solidFill>
            <a:srgbClr val="81C0FF"/>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45720</xdr:colOff>
      <xdr:row>0</xdr:row>
      <xdr:rowOff>137160</xdr:rowOff>
    </xdr:from>
    <xdr:to>
      <xdr:col>5</xdr:col>
      <xdr:colOff>675885</xdr:colOff>
      <xdr:row>3</xdr:row>
      <xdr:rowOff>91440</xdr:rowOff>
    </xdr:to>
    <xdr:grpSp>
      <xdr:nvGrpSpPr>
        <xdr:cNvPr id="2" name="Graphic 4">
          <a:hlinkClick xmlns:r="http://schemas.openxmlformats.org/officeDocument/2006/relationships" r:id="rId1"/>
          <a:extLst>
            <a:ext uri="{FF2B5EF4-FFF2-40B4-BE49-F238E27FC236}">
              <a16:creationId xmlns:a16="http://schemas.microsoft.com/office/drawing/2014/main" id="{00000000-0008-0000-0300-000002000000}"/>
            </a:ext>
          </a:extLst>
        </xdr:cNvPr>
        <xdr:cNvGrpSpPr/>
      </xdr:nvGrpSpPr>
      <xdr:grpSpPr>
        <a:xfrm flipH="1">
          <a:off x="3840480" y="137160"/>
          <a:ext cx="630165" cy="502920"/>
          <a:chOff x="12988652" y="613473"/>
          <a:chExt cx="758543" cy="613199"/>
        </a:xfrm>
        <a:solidFill>
          <a:schemeClr val="bg1"/>
        </a:solidFill>
        <a:effectLst>
          <a:glow rad="63500">
            <a:schemeClr val="accent1">
              <a:satMod val="175000"/>
              <a:alpha val="40000"/>
            </a:schemeClr>
          </a:glow>
        </a:effectLst>
      </xdr:grpSpPr>
      <xdr:sp macro="" textlink="">
        <xdr:nvSpPr>
          <xdr:cNvPr id="3" name="Freeform: Shape 2">
            <a:extLst>
              <a:ext uri="{FF2B5EF4-FFF2-40B4-BE49-F238E27FC236}">
                <a16:creationId xmlns:a16="http://schemas.microsoft.com/office/drawing/2014/main" id="{00000000-0008-0000-0300-000003000000}"/>
              </a:ext>
            </a:extLst>
          </xdr:cNvPr>
          <xdr:cNvSpPr/>
        </xdr:nvSpPr>
        <xdr:spPr>
          <a:xfrm>
            <a:off x="13078748" y="710706"/>
            <a:ext cx="668447" cy="515967"/>
          </a:xfrm>
          <a:custGeom>
            <a:avLst/>
            <a:gdLst>
              <a:gd name="connsiteX0" fmla="*/ 675 w 668447"/>
              <a:gd name="connsiteY0" fmla="*/ 260893 h 515967"/>
              <a:gd name="connsiteX1" fmla="*/ 675 w 668447"/>
              <a:gd name="connsiteY1" fmla="*/ 439258 h 515967"/>
              <a:gd name="connsiteX2" fmla="*/ 77767 w 668447"/>
              <a:gd name="connsiteY2" fmla="*/ 515789 h 515967"/>
              <a:gd name="connsiteX3" fmla="*/ 597360 w 668447"/>
              <a:gd name="connsiteY3" fmla="*/ 515789 h 515967"/>
              <a:gd name="connsiteX4" fmla="*/ 668462 w 668447"/>
              <a:gd name="connsiteY4" fmla="*/ 437761 h 515967"/>
              <a:gd name="connsiteX5" fmla="*/ 668462 w 668447"/>
              <a:gd name="connsiteY5" fmla="*/ 76731 h 515967"/>
              <a:gd name="connsiteX6" fmla="*/ 609478 w 668447"/>
              <a:gd name="connsiteY6" fmla="*/ 6 h 515967"/>
              <a:gd name="connsiteX7" fmla="*/ 356687 w 668447"/>
              <a:gd name="connsiteY7" fmla="*/ 6 h 515967"/>
              <a:gd name="connsiteX8" fmla="*/ 442004 w 668447"/>
              <a:gd name="connsiteY8" fmla="*/ 82327 h 515967"/>
              <a:gd name="connsiteX9" fmla="*/ 582651 w 668447"/>
              <a:gd name="connsiteY9" fmla="*/ 82327 h 515967"/>
              <a:gd name="connsiteX10" fmla="*/ 582651 w 668447"/>
              <a:gd name="connsiteY10" fmla="*/ 431196 h 515967"/>
              <a:gd name="connsiteX11" fmla="*/ 84049 w 668447"/>
              <a:gd name="connsiteY11" fmla="*/ 431196 h 515967"/>
              <a:gd name="connsiteX12" fmla="*/ 84049 w 668447"/>
              <a:gd name="connsiteY12" fmla="*/ 328303 h 5159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68447" h="515967">
                <a:moveTo>
                  <a:pt x="675" y="260893"/>
                </a:moveTo>
                <a:lnTo>
                  <a:pt x="675" y="439258"/>
                </a:lnTo>
                <a:cubicBezTo>
                  <a:pt x="-5296" y="502439"/>
                  <a:pt x="44978" y="517896"/>
                  <a:pt x="77767" y="515789"/>
                </a:cubicBezTo>
                <a:lnTo>
                  <a:pt x="597360" y="515789"/>
                </a:lnTo>
                <a:cubicBezTo>
                  <a:pt x="658001" y="511838"/>
                  <a:pt x="668462" y="475781"/>
                  <a:pt x="668462" y="437761"/>
                </a:cubicBezTo>
                <a:lnTo>
                  <a:pt x="668462" y="76731"/>
                </a:lnTo>
                <a:cubicBezTo>
                  <a:pt x="671308" y="26516"/>
                  <a:pt x="638485" y="2112"/>
                  <a:pt x="609478" y="6"/>
                </a:cubicBezTo>
                <a:lnTo>
                  <a:pt x="356687" y="6"/>
                </a:lnTo>
                <a:lnTo>
                  <a:pt x="442004" y="82327"/>
                </a:lnTo>
                <a:lnTo>
                  <a:pt x="582651" y="82327"/>
                </a:lnTo>
                <a:lnTo>
                  <a:pt x="582651" y="431196"/>
                </a:lnTo>
                <a:lnTo>
                  <a:pt x="84049" y="431196"/>
                </a:lnTo>
                <a:lnTo>
                  <a:pt x="84049" y="328303"/>
                </a:lnTo>
                <a:close/>
              </a:path>
            </a:pathLst>
          </a:custGeom>
          <a:grpFill/>
          <a:ln w="14865" cap="flat">
            <a:solidFill>
              <a:srgbClr val="206DF5"/>
            </a:solidFill>
            <a:prstDash val="solid"/>
            <a:miter/>
          </a:ln>
        </xdr:spPr>
        <xdr:txBody>
          <a:bodyPr rtlCol="0" anchor="ctr"/>
          <a:lstStyle/>
          <a:p>
            <a:endParaRPr lang="ru-RU"/>
          </a:p>
        </xdr:txBody>
      </xdr:sp>
      <xdr:sp macro="" textlink="">
        <xdr:nvSpPr>
          <xdr:cNvPr id="4" name="Freeform: Shape 3">
            <a:extLst>
              <a:ext uri="{FF2B5EF4-FFF2-40B4-BE49-F238E27FC236}">
                <a16:creationId xmlns:a16="http://schemas.microsoft.com/office/drawing/2014/main" id="{00000000-0008-0000-0300-000004000000}"/>
              </a:ext>
            </a:extLst>
          </xdr:cNvPr>
          <xdr:cNvSpPr/>
        </xdr:nvSpPr>
        <xdr:spPr>
          <a:xfrm>
            <a:off x="12988652" y="613473"/>
            <a:ext cx="570884" cy="421316"/>
          </a:xfrm>
          <a:custGeom>
            <a:avLst/>
            <a:gdLst>
              <a:gd name="connsiteX0" fmla="*/ 229737 w 570884"/>
              <a:gd name="connsiteY0" fmla="*/ -65 h 421316"/>
              <a:gd name="connsiteX1" fmla="*/ 119 w 570884"/>
              <a:gd name="connsiteY1" fmla="*/ 187421 h 421316"/>
              <a:gd name="connsiteX2" fmla="*/ 231844 w 570884"/>
              <a:gd name="connsiteY2" fmla="*/ 379120 h 421316"/>
              <a:gd name="connsiteX3" fmla="*/ 231844 w 570884"/>
              <a:gd name="connsiteY3" fmla="*/ 284324 h 421316"/>
              <a:gd name="connsiteX4" fmla="*/ 571004 w 570884"/>
              <a:gd name="connsiteY4" fmla="*/ 421252 h 421316"/>
              <a:gd name="connsiteX5" fmla="*/ 231844 w 570884"/>
              <a:gd name="connsiteY5" fmla="*/ 94731 h 421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570884" h="421316">
                <a:moveTo>
                  <a:pt x="229737" y="-65"/>
                </a:moveTo>
                <a:lnTo>
                  <a:pt x="119" y="187421"/>
                </a:lnTo>
                <a:lnTo>
                  <a:pt x="231844" y="379120"/>
                </a:lnTo>
                <a:lnTo>
                  <a:pt x="231844" y="284324"/>
                </a:lnTo>
                <a:cubicBezTo>
                  <a:pt x="348285" y="257264"/>
                  <a:pt x="485223" y="337279"/>
                  <a:pt x="571004" y="421252"/>
                </a:cubicBezTo>
                <a:cubicBezTo>
                  <a:pt x="527699" y="285344"/>
                  <a:pt x="496117" y="132256"/>
                  <a:pt x="231844" y="94731"/>
                </a:cubicBezTo>
                <a:close/>
              </a:path>
            </a:pathLst>
          </a:custGeom>
          <a:grpFill/>
          <a:ln w="14865" cap="flat">
            <a:solidFill>
              <a:srgbClr val="206DF5"/>
            </a:solidFill>
            <a:prstDash val="solid"/>
            <a:miter/>
          </a:ln>
        </xdr:spPr>
        <xdr:txBody>
          <a:bodyPr rtlCol="0" anchor="ctr"/>
          <a:lstStyle/>
          <a:p>
            <a:endParaRPr lang="ru-RU"/>
          </a:p>
        </xdr:txBody>
      </xdr:sp>
    </xdr:grpSp>
    <xdr:clientData/>
  </xdr:twoCellAnchor>
  <xdr:oneCellAnchor>
    <xdr:from>
      <xdr:col>5</xdr:col>
      <xdr:colOff>807720</xdr:colOff>
      <xdr:row>0</xdr:row>
      <xdr:rowOff>144780</xdr:rowOff>
    </xdr:from>
    <xdr:ext cx="3233449" cy="646331"/>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4602480" y="144780"/>
          <a:ext cx="3233449" cy="6463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US" sz="3600">
              <a:solidFill>
                <a:schemeClr val="bg1"/>
              </a:solidFill>
              <a:latin typeface="Lato Black" panose="020F0A02020204030203" pitchFamily="34" charset="0"/>
            </a:rPr>
            <a:t>ALL RECORDS</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9</xdr:col>
      <xdr:colOff>45719</xdr:colOff>
      <xdr:row>1</xdr:row>
      <xdr:rowOff>205740</xdr:rowOff>
    </xdr:from>
    <xdr:to>
      <xdr:col>10</xdr:col>
      <xdr:colOff>232460</xdr:colOff>
      <xdr:row>5</xdr:row>
      <xdr:rowOff>121920</xdr:rowOff>
    </xdr:to>
    <xdr:grpSp>
      <xdr:nvGrpSpPr>
        <xdr:cNvPr id="57" name="Graphic 4">
          <a:hlinkClick xmlns:r="http://schemas.openxmlformats.org/officeDocument/2006/relationships" r:id="rId1"/>
          <a:extLst>
            <a:ext uri="{FF2B5EF4-FFF2-40B4-BE49-F238E27FC236}">
              <a16:creationId xmlns:a16="http://schemas.microsoft.com/office/drawing/2014/main" id="{00000000-0008-0000-0400-000039000000}"/>
            </a:ext>
          </a:extLst>
        </xdr:cNvPr>
        <xdr:cNvGrpSpPr/>
      </xdr:nvGrpSpPr>
      <xdr:grpSpPr>
        <a:xfrm flipH="1">
          <a:off x="9898379" y="388620"/>
          <a:ext cx="857301" cy="693420"/>
          <a:chOff x="12988652" y="613473"/>
          <a:chExt cx="758543" cy="613199"/>
        </a:xfrm>
        <a:solidFill>
          <a:schemeClr val="bg1"/>
        </a:solidFill>
        <a:effectLst>
          <a:glow rad="63500">
            <a:schemeClr val="accent1">
              <a:satMod val="175000"/>
              <a:alpha val="40000"/>
            </a:schemeClr>
          </a:glow>
        </a:effectLst>
      </xdr:grpSpPr>
      <xdr:sp macro="" textlink="">
        <xdr:nvSpPr>
          <xdr:cNvPr id="58" name="Freeform: Shape 57">
            <a:extLst>
              <a:ext uri="{FF2B5EF4-FFF2-40B4-BE49-F238E27FC236}">
                <a16:creationId xmlns:a16="http://schemas.microsoft.com/office/drawing/2014/main" id="{00000000-0008-0000-0400-00003A000000}"/>
              </a:ext>
            </a:extLst>
          </xdr:cNvPr>
          <xdr:cNvSpPr/>
        </xdr:nvSpPr>
        <xdr:spPr>
          <a:xfrm>
            <a:off x="13078748" y="710706"/>
            <a:ext cx="668447" cy="515967"/>
          </a:xfrm>
          <a:custGeom>
            <a:avLst/>
            <a:gdLst>
              <a:gd name="connsiteX0" fmla="*/ 675 w 668447"/>
              <a:gd name="connsiteY0" fmla="*/ 260893 h 515967"/>
              <a:gd name="connsiteX1" fmla="*/ 675 w 668447"/>
              <a:gd name="connsiteY1" fmla="*/ 439258 h 515967"/>
              <a:gd name="connsiteX2" fmla="*/ 77767 w 668447"/>
              <a:gd name="connsiteY2" fmla="*/ 515789 h 515967"/>
              <a:gd name="connsiteX3" fmla="*/ 597360 w 668447"/>
              <a:gd name="connsiteY3" fmla="*/ 515789 h 515967"/>
              <a:gd name="connsiteX4" fmla="*/ 668462 w 668447"/>
              <a:gd name="connsiteY4" fmla="*/ 437761 h 515967"/>
              <a:gd name="connsiteX5" fmla="*/ 668462 w 668447"/>
              <a:gd name="connsiteY5" fmla="*/ 76731 h 515967"/>
              <a:gd name="connsiteX6" fmla="*/ 609478 w 668447"/>
              <a:gd name="connsiteY6" fmla="*/ 6 h 515967"/>
              <a:gd name="connsiteX7" fmla="*/ 356687 w 668447"/>
              <a:gd name="connsiteY7" fmla="*/ 6 h 515967"/>
              <a:gd name="connsiteX8" fmla="*/ 442004 w 668447"/>
              <a:gd name="connsiteY8" fmla="*/ 82327 h 515967"/>
              <a:gd name="connsiteX9" fmla="*/ 582651 w 668447"/>
              <a:gd name="connsiteY9" fmla="*/ 82327 h 515967"/>
              <a:gd name="connsiteX10" fmla="*/ 582651 w 668447"/>
              <a:gd name="connsiteY10" fmla="*/ 431196 h 515967"/>
              <a:gd name="connsiteX11" fmla="*/ 84049 w 668447"/>
              <a:gd name="connsiteY11" fmla="*/ 431196 h 515967"/>
              <a:gd name="connsiteX12" fmla="*/ 84049 w 668447"/>
              <a:gd name="connsiteY12" fmla="*/ 328303 h 5159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68447" h="515967">
                <a:moveTo>
                  <a:pt x="675" y="260893"/>
                </a:moveTo>
                <a:lnTo>
                  <a:pt x="675" y="439258"/>
                </a:lnTo>
                <a:cubicBezTo>
                  <a:pt x="-5296" y="502439"/>
                  <a:pt x="44978" y="517896"/>
                  <a:pt x="77767" y="515789"/>
                </a:cubicBezTo>
                <a:lnTo>
                  <a:pt x="597360" y="515789"/>
                </a:lnTo>
                <a:cubicBezTo>
                  <a:pt x="658001" y="511838"/>
                  <a:pt x="668462" y="475781"/>
                  <a:pt x="668462" y="437761"/>
                </a:cubicBezTo>
                <a:lnTo>
                  <a:pt x="668462" y="76731"/>
                </a:lnTo>
                <a:cubicBezTo>
                  <a:pt x="671308" y="26516"/>
                  <a:pt x="638485" y="2112"/>
                  <a:pt x="609478" y="6"/>
                </a:cubicBezTo>
                <a:lnTo>
                  <a:pt x="356687" y="6"/>
                </a:lnTo>
                <a:lnTo>
                  <a:pt x="442004" y="82327"/>
                </a:lnTo>
                <a:lnTo>
                  <a:pt x="582651" y="82327"/>
                </a:lnTo>
                <a:lnTo>
                  <a:pt x="582651" y="431196"/>
                </a:lnTo>
                <a:lnTo>
                  <a:pt x="84049" y="431196"/>
                </a:lnTo>
                <a:lnTo>
                  <a:pt x="84049" y="328303"/>
                </a:lnTo>
                <a:close/>
              </a:path>
            </a:pathLst>
          </a:custGeom>
          <a:grpFill/>
          <a:ln w="14865" cap="flat">
            <a:solidFill>
              <a:srgbClr val="206DF5"/>
            </a:solidFill>
            <a:prstDash val="solid"/>
            <a:miter/>
          </a:ln>
        </xdr:spPr>
        <xdr:txBody>
          <a:bodyPr rtlCol="0" anchor="ctr"/>
          <a:lstStyle/>
          <a:p>
            <a:endParaRPr lang="ru-RU"/>
          </a:p>
        </xdr:txBody>
      </xdr:sp>
      <xdr:sp macro="" textlink="">
        <xdr:nvSpPr>
          <xdr:cNvPr id="59" name="Freeform: Shape 58">
            <a:extLst>
              <a:ext uri="{FF2B5EF4-FFF2-40B4-BE49-F238E27FC236}">
                <a16:creationId xmlns:a16="http://schemas.microsoft.com/office/drawing/2014/main" id="{00000000-0008-0000-0400-00003B000000}"/>
              </a:ext>
            </a:extLst>
          </xdr:cNvPr>
          <xdr:cNvSpPr/>
        </xdr:nvSpPr>
        <xdr:spPr>
          <a:xfrm>
            <a:off x="12988652" y="613473"/>
            <a:ext cx="570884" cy="421316"/>
          </a:xfrm>
          <a:custGeom>
            <a:avLst/>
            <a:gdLst>
              <a:gd name="connsiteX0" fmla="*/ 229737 w 570884"/>
              <a:gd name="connsiteY0" fmla="*/ -65 h 421316"/>
              <a:gd name="connsiteX1" fmla="*/ 119 w 570884"/>
              <a:gd name="connsiteY1" fmla="*/ 187421 h 421316"/>
              <a:gd name="connsiteX2" fmla="*/ 231844 w 570884"/>
              <a:gd name="connsiteY2" fmla="*/ 379120 h 421316"/>
              <a:gd name="connsiteX3" fmla="*/ 231844 w 570884"/>
              <a:gd name="connsiteY3" fmla="*/ 284324 h 421316"/>
              <a:gd name="connsiteX4" fmla="*/ 571004 w 570884"/>
              <a:gd name="connsiteY4" fmla="*/ 421252 h 421316"/>
              <a:gd name="connsiteX5" fmla="*/ 231844 w 570884"/>
              <a:gd name="connsiteY5" fmla="*/ 94731 h 421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570884" h="421316">
                <a:moveTo>
                  <a:pt x="229737" y="-65"/>
                </a:moveTo>
                <a:lnTo>
                  <a:pt x="119" y="187421"/>
                </a:lnTo>
                <a:lnTo>
                  <a:pt x="231844" y="379120"/>
                </a:lnTo>
                <a:lnTo>
                  <a:pt x="231844" y="284324"/>
                </a:lnTo>
                <a:cubicBezTo>
                  <a:pt x="348285" y="257264"/>
                  <a:pt x="485223" y="337279"/>
                  <a:pt x="571004" y="421252"/>
                </a:cubicBezTo>
                <a:cubicBezTo>
                  <a:pt x="527699" y="285344"/>
                  <a:pt x="496117" y="132256"/>
                  <a:pt x="231844" y="94731"/>
                </a:cubicBezTo>
                <a:close/>
              </a:path>
            </a:pathLst>
          </a:custGeom>
          <a:grpFill/>
          <a:ln w="14865" cap="flat">
            <a:solidFill>
              <a:srgbClr val="206DF5"/>
            </a:solidFill>
            <a:prstDash val="solid"/>
            <a:miter/>
          </a:ln>
        </xdr:spPr>
        <xdr:txBody>
          <a:bodyPr rtlCol="0" anchor="ctr"/>
          <a:lstStyle/>
          <a:p>
            <a:endParaRPr lang="ru-RU"/>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refreshedDate="46162.136540046296" backgroundQuery="1" createdVersion="8" refreshedVersion="8" minRefreshableVersion="3" recordCount="1034" xr:uid="{CA0C5628-2A51-4FF8-97A1-2F53FA4560D8}">
  <cacheSource type="external" connectionId="1"/>
  <cacheFields count="19">
    <cacheField name="Date" numFmtId="0">
      <sharedItems containsSemiMixedTypes="0" containsNonDate="0" containsDate="1" containsString="0" minDate="2023-01-02T00:00:00" maxDate="2025-01-01T00:00:00" count="729">
        <d v="2023-12-03T00:00:00"/>
        <d v="2023-12-10T00:00:00"/>
        <d v="2023-12-17T00:00:00"/>
        <d v="2023-12-24T00:00:00"/>
        <d v="2023-12-31T00:00:00"/>
        <d v="2024-01-21T00:00:00"/>
        <d v="2024-01-28T00:00:00"/>
        <d v="2024-02-04T00:00:00"/>
        <d v="2024-02-11T00:00:00"/>
        <d v="2024-02-18T00:00:00"/>
        <d v="2024-02-25T00:00:00"/>
        <d v="2024-03-03T00:00:00"/>
        <d v="2024-03-10T00:00:00"/>
        <d v="2024-03-17T00:00:00"/>
        <d v="2024-03-24T00:00:00"/>
        <d v="2024-03-31T00:00:00"/>
        <d v="2024-04-07T00:00:00"/>
        <d v="2024-04-14T00:00:00"/>
        <d v="2024-04-21T00:00:00"/>
        <d v="2024-04-28T00:00:00"/>
        <d v="2024-05-05T00:00:00"/>
        <d v="2024-05-12T00:00:00"/>
        <d v="2024-05-19T00:00:00"/>
        <d v="2024-05-26T00:00:00"/>
        <d v="2024-06-02T00:00:00"/>
        <d v="2024-06-09T00:00:00"/>
        <d v="2024-06-16T00:00:00"/>
        <d v="2024-06-23T00:00:00"/>
        <d v="2024-06-30T00:00:00"/>
        <d v="2024-07-07T00:00:00"/>
        <d v="2024-07-14T00:00:00"/>
        <d v="2024-07-21T00:00:00"/>
        <d v="2024-07-28T00:00:00"/>
        <d v="2024-08-04T00:00:00"/>
        <d v="2024-08-11T00:00:00"/>
        <d v="2024-08-18T00:00:00"/>
        <d v="2024-08-25T00:00:00"/>
        <d v="2024-09-01T00:00:00"/>
        <d v="2024-09-08T00:00:00"/>
        <d v="2024-09-15T00:00:00"/>
        <d v="2024-09-22T00:00:00"/>
        <d v="2024-09-29T00:00:00"/>
        <d v="2024-10-06T00:00:00"/>
        <d v="2024-10-13T00:00:00"/>
        <d v="2024-10-20T00:00:00"/>
        <d v="2024-10-27T00:00:00"/>
        <d v="2024-11-03T00:00:00"/>
        <d v="2024-11-10T00:00:00"/>
        <d v="2024-11-17T00:00:00"/>
        <d v="2023-04-16T00:00:00"/>
        <d v="2023-04-23T00:00:00"/>
        <d v="2023-04-30T00:00:00"/>
        <d v="2023-05-07T00:00:00"/>
        <d v="2023-05-14T00:00:00"/>
        <d v="2023-05-21T00:00:00"/>
        <d v="2023-05-28T00:00:00"/>
        <d v="2023-06-04T00:00:00"/>
        <d v="2023-06-11T00:00:00"/>
        <d v="2023-06-18T00:00:00"/>
        <d v="2023-06-25T00:00:00"/>
        <d v="2023-07-02T00:00:00"/>
        <d v="2023-07-09T00:00:00"/>
        <d v="2023-07-16T00:00:00"/>
        <d v="2023-07-23T00:00:00"/>
        <d v="2023-07-30T00:00:00"/>
        <d v="2023-08-06T00:00:00"/>
        <d v="2023-08-13T00:00:00"/>
        <d v="2023-08-20T00:00:00"/>
        <d v="2023-08-27T00:00:00"/>
        <d v="2023-09-03T00:00:00"/>
        <d v="2023-09-10T00:00:00"/>
        <d v="2023-09-17T00:00:00"/>
        <d v="2023-09-24T00:00:00"/>
        <d v="2023-10-01T00:00:00"/>
        <d v="2023-10-08T00:00:00"/>
        <d v="2023-10-15T00:00:00"/>
        <d v="2023-10-22T00:00:00"/>
        <d v="2023-10-29T00:00:00"/>
        <d v="2023-11-05T00:00:00"/>
        <d v="2023-11-12T00:00:00"/>
        <d v="2023-11-19T00:00:00"/>
        <d v="2023-11-26T00:00:00"/>
        <d v="2024-11-24T00:00:00"/>
        <d v="2024-12-01T00:00:00"/>
        <d v="2024-12-08T00:00:00"/>
        <d v="2024-12-15T00:00:00"/>
        <d v="2024-12-22T00:00:00"/>
        <d v="2024-12-29T00:00:00"/>
        <d v="2023-01-02T00:00:00"/>
        <d v="2023-01-09T00:00:00"/>
        <d v="2023-01-16T00:00:00"/>
        <d v="2023-01-23T00:00:00"/>
        <d v="2023-01-30T00:00:00"/>
        <d v="2023-02-06T00:00:00"/>
        <d v="2023-02-13T00:00:00"/>
        <d v="2023-02-20T00:00:00"/>
        <d v="2023-02-27T00:00:00"/>
        <d v="2023-03-06T00:00:00"/>
        <d v="2023-07-03T00:00:00"/>
        <d v="2023-07-10T00:00:00"/>
        <d v="2023-07-17T00:00:00"/>
        <d v="2023-07-24T00:00:00"/>
        <d v="2023-07-31T00:00:00"/>
        <d v="2023-08-07T00:00:00"/>
        <d v="2023-11-06T00:00:00"/>
        <d v="2023-11-13T00:00:00"/>
        <d v="2023-11-20T00:00:00"/>
        <d v="2023-11-27T00:00:00"/>
        <d v="2023-12-04T00:00:00"/>
        <d v="2023-12-11T00:00:00"/>
        <d v="2023-12-18T00:00:00"/>
        <d v="2023-12-25T00:00:00"/>
        <d v="2024-04-08T00:00:00"/>
        <d v="2024-04-15T00:00:00"/>
        <d v="2024-04-22T00:00:00"/>
        <d v="2024-04-29T00:00:00"/>
        <d v="2024-05-06T00:00:00"/>
        <d v="2024-05-13T00:00:00"/>
        <d v="2024-05-20T00:00:00"/>
        <d v="2024-05-27T00:00:0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3-06-27T00:00:00"/>
        <d v="2023-07-04T00:00:00"/>
        <d v="2023-07-11T00:00:00"/>
        <d v="2023-07-18T00:00:00"/>
        <d v="2023-07-25T00:00:00"/>
        <d v="2023-08-01T00:00:00"/>
        <d v="2023-08-08T00:00:00"/>
        <d v="2023-08-15T00:00:00"/>
        <d v="2023-08-22T00:00:00"/>
        <d v="2023-08-29T00:00:00"/>
        <d v="2023-09-05T00:00:00"/>
        <d v="2023-09-12T00:00:00"/>
        <d v="2023-09-19T00:00:00"/>
        <d v="2023-09-26T00:00:00"/>
        <d v="2023-10-03T00:00:00"/>
        <d v="2023-10-10T00:00:00"/>
        <d v="2023-10-17T00:00:00"/>
        <d v="2023-10-24T00:00:00"/>
        <d v="2023-10-31T00:00:00"/>
        <d v="2023-11-07T00:00:00"/>
        <d v="2023-11-14T00:00:00"/>
        <d v="2023-11-21T00:00:00"/>
        <d v="2023-11-28T00:00:00"/>
        <d v="2023-12-05T00:00:00"/>
        <d v="2023-12-12T00:00:00"/>
        <d v="2023-12-19T00:00:00"/>
        <d v="2023-12-26T00:00:00"/>
        <d v="2024-01-02T00:00:00"/>
        <d v="2024-01-09T00:00:00"/>
        <d v="2024-01-16T00:00:00"/>
        <d v="2024-01-23T00:00:00"/>
        <d v="2024-01-30T00:00:00"/>
        <d v="2024-02-06T00:00:00"/>
        <d v="2024-02-13T00:00:00"/>
        <d v="2024-02-20T00:00:00"/>
        <d v="2024-02-27T00:00:00"/>
        <d v="2024-03-05T00:00:00"/>
        <d v="2024-03-12T00:00:00"/>
        <d v="2024-06-25T00:00:00"/>
        <d v="2024-07-02T00:00:00"/>
        <d v="2024-07-09T00:00:00"/>
        <d v="2024-07-16T00:00:00"/>
        <d v="2024-07-23T00:00:00"/>
        <d v="2024-07-30T00:00:00"/>
        <d v="2024-08-06T00:00:00"/>
        <d v="2024-08-13T00:00:00"/>
        <d v="2024-08-20T00:00:00"/>
        <d v="2024-08-27T00:00:00"/>
        <d v="2024-09-03T00:00:00"/>
        <d v="2024-09-10T00:00:00"/>
        <d v="2024-09-17T00:00:00"/>
        <d v="2024-09-24T00:00:00"/>
        <d v="2024-10-01T00:00:00"/>
        <d v="2024-10-08T00:00:00"/>
        <d v="2024-10-15T00:00:00"/>
        <d v="2024-10-22T00:00:00"/>
        <d v="2024-10-29T00:00:00"/>
        <d v="2024-11-05T00:00:00"/>
        <d v="2024-11-12T00:00:00"/>
        <d v="2024-11-19T00:00:00"/>
        <d v="2024-11-26T00:00:00"/>
        <d v="2024-12-03T00:00:00"/>
        <d v="2024-12-10T00:00:00"/>
        <d v="2024-12-17T00:00:00"/>
        <d v="2024-12-24T00:00:00"/>
        <d v="2024-12-31T00:00:00"/>
        <d v="2023-03-01T00:00:00"/>
        <d v="2023-04-05T00:00:00"/>
        <d v="2023-04-12T00:00:00"/>
        <d v="2023-04-19T00:00:00"/>
        <d v="2023-04-26T00:00:00"/>
        <d v="2023-05-03T00:00:00"/>
        <d v="2023-05-10T00:00:00"/>
        <d v="2023-05-17T00:00:00"/>
        <d v="2023-05-24T00:00:00"/>
        <d v="2023-05-31T00:00:00"/>
        <d v="2023-06-07T00:00:00"/>
        <d v="2023-06-14T00:00:00"/>
        <d v="2023-06-21T00:00:00"/>
        <d v="2023-06-28T00:00:00"/>
        <d v="2023-07-05T00:00:00"/>
        <d v="2023-07-12T00:00:00"/>
        <d v="2023-07-19T00:00:00"/>
        <d v="2023-07-26T00:00:00"/>
        <d v="2023-08-02T00:00:00"/>
        <d v="2023-08-09T00:00:00"/>
        <d v="2023-08-16T00:00:00"/>
        <d v="2023-08-23T00:00:00"/>
        <d v="2023-08-30T00:00:00"/>
        <d v="2023-09-06T00:00:00"/>
        <d v="2023-09-13T00:00:00"/>
        <d v="2023-09-20T00:00:00"/>
        <d v="2023-09-27T00:00:00"/>
        <d v="2023-10-04T00:00:00"/>
        <d v="2023-10-11T00:00:00"/>
        <d v="2023-10-18T00:00:00"/>
        <d v="2023-10-25T00:00:00"/>
        <d v="2023-11-01T00:00:00"/>
        <d v="2023-11-08T00:00:00"/>
        <d v="2023-11-15T00:00:00"/>
        <d v="2023-11-22T00:00:00"/>
        <d v="2023-11-29T00:00:00"/>
        <d v="2023-12-06T00:00:00"/>
        <d v="2023-12-13T00:00:00"/>
        <d v="2023-12-20T00:00:00"/>
        <d v="2023-12-27T00:00:00"/>
        <d v="2024-01-03T00:00:00"/>
        <d v="2024-01-10T00:00:00"/>
        <d v="2024-01-17T00:00:00"/>
        <d v="2024-01-24T00:00:00"/>
        <d v="2024-01-31T00:00:00"/>
        <d v="2024-02-07T00:00:00"/>
        <d v="2024-02-14T00:00:00"/>
        <d v="2024-02-21T00:00:00"/>
        <d v="2024-02-28T00:00:00"/>
        <d v="2024-03-06T00:00:00"/>
        <d v="2024-03-13T00:00:00"/>
        <d v="2024-03-20T00:00:00"/>
        <d v="2024-03-27T00:00:00"/>
        <d v="2024-04-03T00:00:00"/>
        <d v="2024-04-10T00:00:00"/>
        <d v="2024-04-17T00:00:00"/>
        <d v="2024-04-24T00:00:00"/>
        <d v="2024-05-01T00:00:00"/>
        <d v="2024-05-08T00:00:00"/>
        <d v="2024-05-15T00:00:00"/>
        <d v="2024-05-22T00:00:00"/>
        <d v="2024-05-29T00:00:00"/>
        <d v="2024-06-05T00:00:00"/>
        <d v="2024-06-12T00:00:00"/>
        <d v="2024-06-19T00:00:00"/>
        <d v="2024-06-26T00:00:00"/>
        <d v="2024-07-03T00:00:00"/>
        <d v="2024-07-10T00:00:00"/>
        <d v="2024-07-17T00:00:00"/>
        <d v="2024-07-24T00:00:00"/>
        <d v="2024-07-31T00:00:00"/>
        <d v="2024-08-07T00:00:00"/>
        <d v="2024-08-14T00:00:00"/>
        <d v="2024-08-21T00:00:00"/>
        <d v="2024-08-28T00:00:00"/>
        <d v="2024-09-04T00:00:00"/>
        <d v="2024-09-11T00:00:00"/>
        <d v="2024-09-18T00:00:00"/>
        <d v="2024-09-25T00:00:00"/>
        <d v="2024-10-02T00:00:00"/>
        <d v="2024-10-09T00:00:00"/>
        <d v="2024-10-16T00:00:00"/>
        <d v="2024-10-23T00:00:00"/>
        <d v="2024-10-30T00:00:00"/>
        <d v="2024-11-06T00:00:00"/>
        <d v="2024-11-13T00:00:00"/>
        <d v="2024-11-20T00:00:00"/>
        <d v="2024-11-27T00:00:00"/>
        <d v="2024-12-04T00:00:00"/>
        <d v="2024-12-11T00:00:00"/>
        <d v="2024-12-18T00:00:00"/>
        <d v="2024-12-25T00:00:00"/>
        <d v="2023-01-05T00:00:00"/>
        <d v="2023-02-09T00:00:00"/>
        <d v="2023-02-16T00:00:00"/>
        <d v="2023-02-23T00:00:00"/>
        <d v="2023-03-02T00:00:00"/>
        <d v="2023-03-09T00:00:00"/>
        <d v="2023-03-16T00:00:00"/>
        <d v="2023-03-23T00:00:00"/>
        <d v="2023-03-30T00:00:00"/>
        <d v="2023-04-06T00:00:00"/>
        <d v="2023-04-13T00:00:00"/>
        <d v="2023-04-20T00:00:00"/>
        <d v="2023-04-27T00:00:00"/>
        <d v="2023-05-04T00:00:00"/>
        <d v="2023-05-11T00:00:00"/>
        <d v="2023-05-18T00:00:00"/>
        <d v="2023-05-25T00:00:00"/>
        <d v="2023-06-01T00:00:00"/>
        <d v="2023-06-08T00:00:00"/>
        <d v="2023-06-15T00:00:00"/>
        <d v="2023-06-22T00:00:00"/>
        <d v="2023-06-29T00:00:00"/>
        <d v="2023-07-06T00:00:00"/>
        <d v="2023-07-13T00:00:00"/>
        <d v="2023-07-20T00:00:00"/>
        <d v="2023-07-27T00:00:00"/>
        <d v="2023-08-03T00:00:00"/>
        <d v="2023-08-10T00:00:00"/>
        <d v="2023-08-17T00:00:00"/>
        <d v="2023-08-24T00:00:00"/>
        <d v="2023-08-31T00:00:00"/>
        <d v="2023-09-07T00:00:00"/>
        <d v="2023-09-14T00:00:00"/>
        <d v="2023-09-21T00:00:00"/>
        <d v="2023-09-28T00:00:00"/>
        <d v="2023-10-05T00:00:00"/>
        <d v="2023-10-12T00:00:00"/>
        <d v="2023-10-19T00:00:00"/>
        <d v="2023-10-26T00:00:00"/>
        <d v="2023-11-02T00:00:00"/>
        <d v="2023-11-09T00:00:00"/>
        <d v="2023-11-16T00:00:00"/>
        <d v="2023-11-23T00:00:00"/>
        <d v="2023-11-30T00:00:00"/>
        <d v="2023-12-07T00:00:00"/>
        <d v="2023-12-14T00:00:00"/>
        <d v="2023-12-21T00:00:00"/>
        <d v="2023-12-28T00:00:00"/>
        <d v="2024-01-04T00:00:00"/>
        <d v="2024-01-11T00:00:00"/>
        <d v="2024-01-18T00:00:00"/>
        <d v="2024-01-25T00:00:00"/>
        <d v="2024-02-01T00:00:00"/>
        <d v="2024-02-08T00:00:00"/>
        <d v="2024-02-15T00:00:00"/>
        <d v="2024-02-22T00:00:00"/>
        <d v="2024-02-29T00:00:00"/>
        <d v="2024-03-07T00:00:00"/>
        <d v="2024-03-14T00:00:00"/>
        <d v="2024-03-21T00:00:00"/>
        <d v="2024-03-28T00:00:00"/>
        <d v="2024-04-04T00:00:00"/>
        <d v="2024-04-11T00:00:00"/>
        <d v="2024-04-18T00:00:00"/>
        <d v="2024-04-25T00:00:00"/>
        <d v="2024-05-02T00:00:00"/>
        <d v="2024-05-09T00:00:00"/>
        <d v="2024-05-16T00:00:00"/>
        <d v="2024-05-23T00:00:00"/>
        <d v="2024-05-30T00:00:00"/>
        <d v="2024-06-06T00:00:00"/>
        <d v="2024-06-13T00:00:00"/>
        <d v="2024-06-20T00:00:00"/>
        <d v="2024-06-27T00:00:00"/>
        <d v="2024-07-04T00:00:00"/>
        <d v="2024-07-11T00:00:00"/>
        <d v="2024-07-18T00:00:00"/>
        <d v="2024-07-25T00:00:00"/>
        <d v="2024-08-01T00:00:00"/>
        <d v="2024-08-08T00:00:00"/>
        <d v="2024-08-15T00:00:00"/>
        <d v="2024-08-22T00:00:00"/>
        <d v="2024-08-29T00:00:00"/>
        <d v="2024-09-05T00:00:00"/>
        <d v="2024-09-12T00:00:00"/>
        <d v="2024-09-19T00:00:00"/>
        <d v="2024-09-26T00:00:00"/>
        <d v="2024-10-03T00:00:00"/>
        <d v="2024-10-10T00:00:00"/>
        <d v="2024-10-17T00:00:00"/>
        <d v="2024-10-24T00:00:00"/>
        <d v="2024-10-31T00:00:00"/>
        <d v="2024-11-07T00:00:00"/>
        <d v="2024-11-14T00:00:00"/>
        <d v="2024-11-21T00:00:00"/>
        <d v="2024-11-28T00:00:00"/>
        <d v="2024-12-05T00:00:00"/>
        <d v="2024-12-12T00:00:00"/>
        <d v="2024-12-19T00:00:00"/>
        <d v="2024-12-26T00:00:00"/>
        <d v="2023-01-06T00:00:00"/>
        <d v="2023-01-13T00:00:00"/>
        <d v="2023-01-20T00:00:00"/>
        <d v="2023-01-27T00:00:00"/>
        <d v="2023-02-03T00:00:00"/>
        <d v="2023-02-10T00:00:00"/>
        <d v="2023-02-17T00:00:00"/>
        <d v="2023-02-24T00:00:00"/>
        <d v="2023-03-03T00:00:00"/>
        <d v="2023-03-10T00:00:00"/>
        <d v="2023-03-17T00:00:00"/>
        <d v="2023-03-24T00:00:00"/>
        <d v="2023-03-31T00:00:00"/>
        <d v="2023-04-07T00:00:00"/>
        <d v="2023-04-14T00:00:00"/>
        <d v="2023-04-21T00:00:00"/>
        <d v="2023-04-28T00:00:00"/>
        <d v="2023-05-05T00:00:00"/>
        <d v="2023-05-12T00:00:00"/>
        <d v="2023-05-19T00:00:00"/>
        <d v="2023-05-26T00:00:00"/>
        <d v="2023-06-02T00:00:00"/>
        <d v="2023-06-09T00:00:00"/>
        <d v="2023-06-16T00:00:00"/>
        <d v="2023-06-23T00:00:00"/>
        <d v="2023-06-30T00:00:00"/>
        <d v="2023-07-07T00:00:00"/>
        <d v="2023-07-14T00:00:00"/>
        <d v="2023-07-21T00:00:00"/>
        <d v="2023-07-28T00:00:00"/>
        <d v="2023-08-04T00:00:00"/>
        <d v="2023-08-11T00:00:00"/>
        <d v="2023-08-18T00:00:00"/>
        <d v="2023-08-25T00:00:00"/>
        <d v="2023-09-01T00:00:00"/>
        <d v="2023-09-08T00:00:00"/>
        <d v="2023-09-15T00:00:00"/>
        <d v="2023-09-22T00:00:00"/>
        <d v="2023-09-29T00:00:00"/>
        <d v="2023-10-06T00:00:00"/>
        <d v="2023-10-13T00:00:00"/>
        <d v="2023-10-20T00:00:00"/>
        <d v="2023-10-27T00:00:00"/>
        <d v="2023-11-03T00:00:00"/>
        <d v="2023-11-10T00:00:00"/>
        <d v="2023-11-17T00:00:00"/>
        <d v="2023-11-24T00:00:00"/>
        <d v="2023-12-01T00:00:00"/>
        <d v="2023-12-08T00:00:00"/>
        <d v="2023-12-15T00:00:00"/>
        <d v="2023-12-22T00:00:00"/>
        <d v="2023-12-29T00:00:00"/>
        <d v="2024-01-05T00:00:00"/>
        <d v="2024-01-12T00:00:00"/>
        <d v="2024-01-19T00:00:00"/>
        <d v="2024-01-26T00:00:00"/>
        <d v="2024-02-02T00:00:00"/>
        <d v="2024-02-09T00:00:00"/>
        <d v="2024-02-16T00:00:00"/>
        <d v="2024-02-23T00:00:00"/>
        <d v="2024-03-01T00:00:00"/>
        <d v="2024-03-08T00:00:00"/>
        <d v="2024-03-15T00:00:00"/>
        <d v="2024-03-22T00:00:00"/>
        <d v="2024-03-29T00:00:00"/>
        <d v="2024-04-05T00:00:00"/>
        <d v="2024-04-12T00:00:00"/>
        <d v="2024-04-19T00:00:00"/>
        <d v="2024-04-26T00:00:00"/>
        <d v="2024-05-03T00:00:00"/>
        <d v="2024-05-10T00:00:00"/>
        <d v="2024-05-17T00:00:00"/>
        <d v="2024-05-24T00:00:00"/>
        <d v="2024-05-31T00:00:00"/>
        <d v="2024-06-07T00:00:00"/>
        <d v="2024-06-14T00:00:00"/>
        <d v="2024-06-21T00:00:00"/>
        <d v="2024-06-28T00:00:00"/>
        <d v="2024-07-05T00:00:00"/>
        <d v="2024-07-12T00:00:00"/>
        <d v="2024-07-19T00:00:00"/>
        <d v="2024-07-26T00:00:00"/>
        <d v="2024-08-02T00:00:00"/>
        <d v="2024-08-09T00:00:00"/>
        <d v="2024-08-16T00:00:00"/>
        <d v="2024-08-23T00:00:00"/>
        <d v="2024-08-30T00:00:00"/>
        <d v="2024-09-06T00:00:00"/>
        <d v="2024-09-13T00:00:00"/>
        <d v="2024-09-20T00:00:00"/>
        <d v="2024-09-27T00:00:00"/>
        <d v="2024-10-04T00:00:00"/>
        <d v="2024-10-11T00:00:00"/>
        <d v="2024-10-18T00:00:00"/>
        <d v="2024-10-25T00:00:00"/>
        <d v="2024-11-01T00:00:00"/>
        <d v="2024-11-08T00:00:00"/>
        <d v="2024-11-15T00:00:00"/>
        <d v="2024-11-22T00:00:00"/>
        <d v="2024-11-29T00:00:00"/>
        <d v="2024-12-06T00:00:00"/>
        <d v="2024-12-13T00:00:00"/>
        <d v="2024-12-20T00:00:00"/>
        <d v="2024-12-27T00:00:00"/>
        <d v="2023-01-07T00:00:00"/>
        <d v="2023-01-14T00:00:00"/>
        <d v="2023-01-21T00:00:00"/>
        <d v="2023-01-28T00:00:00"/>
        <d v="2023-02-04T00:00:00"/>
        <d v="2023-02-11T00:00:00"/>
        <d v="2023-02-18T00:00:00"/>
        <d v="2023-02-25T00:00:00"/>
        <d v="2023-03-04T00:00:00"/>
        <d v="2023-03-11T00:00:00"/>
        <d v="2023-03-18T00:00:00"/>
        <d v="2023-03-25T00:00:00"/>
        <d v="2023-04-01T00:00:00"/>
        <d v="2023-04-08T00:00:00"/>
        <d v="2023-04-15T00:00:00"/>
        <d v="2023-04-22T00:00:00"/>
        <d v="2023-04-29T00:00:00"/>
        <d v="2023-05-06T00:00:00"/>
        <d v="2023-05-13T00:00:00"/>
        <d v="2023-05-20T00:00:00"/>
        <d v="2023-05-27T00:00:00"/>
        <d v="2023-06-03T00:00:00"/>
        <d v="2023-06-10T00:00:00"/>
        <d v="2023-06-17T00:00:00"/>
        <d v="2023-06-24T00:00:00"/>
        <d v="2023-07-01T00:00:00"/>
        <d v="2023-07-08T00:00:00"/>
        <d v="2023-07-15T00:00:00"/>
        <d v="2023-07-22T00:00:00"/>
        <d v="2023-07-29T00:00:00"/>
        <d v="2023-08-05T00:00:00"/>
        <d v="2023-08-12T00:00:00"/>
        <d v="2023-08-19T00:00:00"/>
        <d v="2023-08-26T00:00:00"/>
        <d v="2023-09-02T00:00:00"/>
        <d v="2023-09-09T00:00:00"/>
        <d v="2023-09-16T00:00:00"/>
        <d v="2023-09-23T00:00:00"/>
        <d v="2023-09-30T00:00:00"/>
        <d v="2023-10-07T00:00:00"/>
        <d v="2023-10-14T00:00:00"/>
        <d v="2023-10-21T00:00:00"/>
        <d v="2023-10-28T00:00:00"/>
        <d v="2023-11-04T00:00:00"/>
        <d v="2023-11-11T00:00:00"/>
        <d v="2023-11-18T00:00:00"/>
        <d v="2023-11-25T00:00:00"/>
        <d v="2023-12-02T00:00:00"/>
        <d v="2023-12-09T00:00:00"/>
        <d v="2023-12-16T00:00:00"/>
        <d v="2023-12-23T00:00:00"/>
        <d v="2023-12-30T00:00:00"/>
        <d v="2024-01-06T00:00:00"/>
        <d v="2024-01-13T00:00:00"/>
        <d v="2024-01-20T00:00:00"/>
        <d v="2024-01-27T00:00:00"/>
        <d v="2024-02-03T00:00:00"/>
        <d v="2024-02-10T00:00:00"/>
        <d v="2024-02-17T00:00:00"/>
        <d v="2024-02-24T00:00:00"/>
        <d v="2024-03-02T00:00:00"/>
        <d v="2024-03-09T00:00:00"/>
        <d v="2024-03-16T00:00:00"/>
        <d v="2024-03-23T00:00:00"/>
        <d v="2024-03-30T00:00:00"/>
        <d v="2024-04-06T00:00:00"/>
        <d v="2024-04-13T00:00:00"/>
        <d v="2024-04-20T00:00:00"/>
        <d v="2024-04-27T00:00:00"/>
        <d v="2024-05-04T00:00:00"/>
        <d v="2024-05-11T00:00:00"/>
        <d v="2024-05-18T00:00:00"/>
        <d v="2024-05-25T00:00:00"/>
        <d v="2024-06-01T00:00:00"/>
        <d v="2024-06-08T00:00:00"/>
        <d v="2024-06-15T00:00:00"/>
        <d v="2024-06-22T00:00:00"/>
        <d v="2024-06-29T00:00:00"/>
        <d v="2024-07-06T00:00:00"/>
        <d v="2024-07-13T00:00:00"/>
        <d v="2024-07-20T00:00:00"/>
        <d v="2024-07-27T00:00:00"/>
        <d v="2024-08-03T00:00:00"/>
        <d v="2024-08-10T00:00:00"/>
        <d v="2024-08-17T00:00:00"/>
        <d v="2024-08-24T00:00:00"/>
        <d v="2024-08-31T00:00:00"/>
        <d v="2024-09-07T00:00:00"/>
        <d v="2024-09-14T00:00:00"/>
        <d v="2024-09-21T00:00:00"/>
        <d v="2024-09-28T00:00:00"/>
        <d v="2024-10-05T00:00:00"/>
        <d v="2024-10-12T00:00:00"/>
        <d v="2024-10-19T00:00:00"/>
        <d v="2024-10-26T00:00:00"/>
        <d v="2024-11-02T00:00:00"/>
        <d v="2024-11-09T00:00:00"/>
        <d v="2024-11-16T00:00:00"/>
        <d v="2024-11-23T00:00:00"/>
        <d v="2024-11-30T00:00:00"/>
        <d v="2024-12-07T00:00:00"/>
        <d v="2024-12-14T00:00:00"/>
        <d v="2024-12-21T00:00:00"/>
        <d v="2024-12-28T00:00:00"/>
        <d v="2023-03-13T00:00:00"/>
        <d v="2023-03-20T00:00:00"/>
        <d v="2023-03-27T00:00:00"/>
        <d v="2023-04-03T00:00:00"/>
        <d v="2023-04-10T00:00:00"/>
        <d v="2023-04-17T00:00:00"/>
        <d v="2023-04-24T00:00:00"/>
        <d v="2023-05-01T00:00:00"/>
        <d v="2023-05-08T00:00:00"/>
        <d v="2023-05-15T00:00:00"/>
        <d v="2023-05-22T00:00:00"/>
        <d v="2023-05-29T00:00:00"/>
        <d v="2023-06-05T00:00:00"/>
        <d v="2023-06-12T00:00:00"/>
        <d v="2023-06-19T00:00:00"/>
        <d v="2023-06-26T00:00:00"/>
        <d v="2023-08-14T00:00:00"/>
        <d v="2023-08-21T00:00:00"/>
        <d v="2023-08-28T00:00:00"/>
        <d v="2023-09-04T00:00:00"/>
        <d v="2023-09-11T00:00:00"/>
        <d v="2023-09-18T00:00:00"/>
        <d v="2023-09-25T00:00:00"/>
        <d v="2023-10-02T00:00:00"/>
        <d v="2023-10-09T00:00:00"/>
        <d v="2023-10-16T00:00:00"/>
        <d v="2023-10-23T00:00:00"/>
        <d v="2023-10-30T00:00:00"/>
        <d v="2024-01-01T00:00:00"/>
        <d v="2024-01-08T00:00:00"/>
        <d v="2024-01-15T00:00:00"/>
        <d v="2024-01-22T00:00:00"/>
        <d v="2024-01-29T00:00:00"/>
        <d v="2024-02-05T00:00:00"/>
        <d v="2024-02-12T00:00:00"/>
        <d v="2024-02-19T00:00:00"/>
        <d v="2024-02-26T00:00:00"/>
        <d v="2024-03-04T00:00:00"/>
        <d v="2024-03-11T00:00:00"/>
        <d v="2024-03-18T00:00:00"/>
        <d v="2024-03-25T00:00:00"/>
        <d v="2024-04-01T00:00:00"/>
        <d v="2023-02-28T00:00:00"/>
        <d v="2023-03-05T00:00:00"/>
        <d v="2023-01-10T00:00:00"/>
        <d v="2023-01-17T00:00:00"/>
        <d v="2023-01-24T00:00:00"/>
        <d v="2023-01-31T00:00:00"/>
        <d v="2023-02-07T00:00:00"/>
        <d v="2023-02-14T00:00:00"/>
        <d v="2023-02-21T00:00:00"/>
        <d v="2023-03-07T00:00:00"/>
        <d v="2023-03-14T00:00:00"/>
        <d v="2023-03-21T00:00:00"/>
        <d v="2023-03-28T00:00:00"/>
        <d v="2023-04-04T00:00:00"/>
        <d v="2023-04-11T00:00:00"/>
        <d v="2023-04-18T00:00:00"/>
        <d v="2023-04-25T00:00:00"/>
        <d v="2023-05-02T00:00:00"/>
        <d v="2023-05-09T00:00:00"/>
        <d v="2023-05-16T00:00:00"/>
        <d v="2023-05-23T00:00:00"/>
        <d v="2023-05-30T00:00:00"/>
        <d v="2023-06-06T00:00:00"/>
        <d v="2023-06-13T00:00:00"/>
        <d v="2023-06-20T00:00:00"/>
        <d v="2024-03-19T00:00:00"/>
        <d v="2024-03-26T00:00:00"/>
        <d v="2024-04-02T00:00:00"/>
        <d v="2024-04-09T00:00:00"/>
        <d v="2024-04-16T00:00:00"/>
        <d v="2024-04-23T00:00:00"/>
        <d v="2024-04-30T00:00:00"/>
        <d v="2024-05-07T00:00:00"/>
        <d v="2024-05-14T00:00:00"/>
        <d v="2024-05-21T00:00:00"/>
        <d v="2024-05-28T00:00:00"/>
        <d v="2024-06-04T00:00:00"/>
        <d v="2024-06-11T00:00:00"/>
        <d v="2024-06-18T00:00:00"/>
        <d v="2023-01-12T00:00:00" u="1"/>
        <d v="2023-01-19T00:00:00" u="1"/>
        <d v="2023-01-26T00:00:00" u="1"/>
        <d v="2023-02-02T00:00:00" u="1"/>
        <d v="2023-01-04T00:00:00" u="1"/>
        <d v="2023-01-11T00:00:00" u="1"/>
        <d v="2023-01-18T00:00:00" u="1"/>
        <d v="2023-01-25T00:00:00" u="1"/>
        <d v="2023-02-01T00:00:00" u="1"/>
        <d v="2023-02-08T00:00:00" u="1"/>
        <d v="2023-02-15T00:00:00" u="1"/>
        <d v="2023-02-22T00:00:00" u="1"/>
        <d v="2023-03-08T00:00:00" u="1"/>
        <d v="2023-03-15T00:00:00" u="1"/>
        <d v="2023-03-22T00:00:00" u="1"/>
        <d v="2023-03-29T00:00:00" u="1"/>
        <d v="2024-01-07T00:00:00" u="1"/>
        <d v="2024-01-14T00:00:00" u="1"/>
        <d v="2023-01-15T00:00:00" u="1"/>
        <d v="2023-01-22T00:00:00" u="1"/>
        <d v="2023-01-29T00:00:00" u="1"/>
        <d v="2023-02-05T00:00:00" u="1"/>
        <d v="2023-02-12T00:00:00" u="1"/>
        <d v="2023-02-19T00:00:00" u="1"/>
        <d v="2023-02-26T00:00:00" u="1"/>
        <d v="2023-03-12T00:00:00" u="1"/>
        <d v="2023-03-19T00:00:00" u="1"/>
        <d v="2023-03-26T00:00:00" u="1"/>
        <d v="2023-04-02T00:00:00" u="1"/>
        <d v="2023-04-09T00:00:00" u="1"/>
        <d v="2023-01-03T00:00:00" u="1"/>
      </sharedItems>
      <fieldGroup par="18"/>
    </cacheField>
    <cacheField name="Region" numFmtId="0">
      <sharedItems count="4">
        <s v="North"/>
        <s v="West"/>
        <s v="East"/>
        <s v="South"/>
      </sharedItems>
    </cacheField>
    <cacheField name="Product" numFmtId="0">
      <sharedItems count="20">
        <s v="Power Bank"/>
        <s v="Gym Gloves"/>
        <s v="Bluetooth Speaker"/>
        <s v="Yoga Mat"/>
        <s v="Gaming Mouse"/>
        <s v="Sports Jacket"/>
        <s v="Mechanical Keyboard"/>
        <s v="Yoga Pants"/>
        <s v="Resistance Bands"/>
        <s v="Running Shoes"/>
        <s v="Multivitamins"/>
        <s v="Sneakers"/>
        <s v="Wireless Earbuds"/>
        <s v="Protein Powder"/>
        <s v="Smart Watch"/>
        <s v="Hoodie"/>
        <s v="Laptop Stand"/>
        <s v="Casual T-Shirt"/>
        <s v="Fitness Tracker"/>
        <s v="Denim Jeans"/>
      </sharedItems>
    </cacheField>
    <cacheField name="Category" numFmtId="0">
      <sharedItems count="3">
        <s v="Electronics"/>
        <s v="Health &amp; Fitness"/>
        <s v="Fashion"/>
      </sharedItems>
    </cacheField>
    <cacheField name="Campaign" numFmtId="0">
      <sharedItems count="12">
        <s v="Social Media Boost Campaign"/>
        <s v="New Product Launch"/>
        <s v="Summer Sale Campaign"/>
        <s v="Loyalty Program Campaign"/>
        <s v="Search Engine Ads Campaign"/>
        <s v="Influencer Marketing Campaign"/>
        <s v="Retargeting Campaign"/>
        <s v="Seasonal Discount Campaign"/>
        <s v="Flash Sale Campaign"/>
        <s v="Brand Awareness Campaign"/>
        <s v="Email Promotion"/>
        <s v="Cart Abandonment Campaign"/>
      </sharedItems>
    </cacheField>
    <cacheField name="Marketing_Channel" numFmtId="0">
      <sharedItems count="4">
        <s v="Email"/>
        <s v="Social Media"/>
        <s v="Search Engine"/>
        <s v="Direct Mail"/>
      </sharedItems>
    </cacheField>
    <cacheField name="Quarter" numFmtId="0">
      <sharedItems count="4">
        <s v="Q1"/>
        <s v="Q3"/>
        <s v="Q2"/>
        <s v="Q4"/>
      </sharedItems>
    </cacheField>
    <cacheField name="Spend" numFmtId="0">
      <sharedItems containsSemiMixedTypes="0" containsString="0" containsNumber="1" minValue="560.38" maxValue="7800"/>
    </cacheField>
    <cacheField name="Impressions" numFmtId="0">
      <sharedItems containsSemiMixedTypes="0" containsString="0" containsNumber="1" containsInteger="1" minValue="1114" maxValue="203000"/>
    </cacheField>
    <cacheField name="Clicks" numFmtId="0">
      <sharedItems containsSemiMixedTypes="0" containsString="0" containsNumber="1" containsInteger="1" minValue="141" maxValue="10150"/>
    </cacheField>
    <cacheField name="Conversions" numFmtId="0">
      <sharedItems containsSemiMixedTypes="0" containsString="0" containsNumber="1" containsInteger="1" minValue="1" maxValue="508"/>
    </cacheField>
    <cacheField name="Conversion Rate" numFmtId="0">
      <sharedItems containsSemiMixedTypes="0" containsString="0" containsNumber="1" minValue="0" maxValue="0.27" count="19">
        <n v="0.24"/>
        <n v="0.05"/>
        <n v="0.03"/>
        <n v="0.04"/>
        <n v="0.06"/>
        <n v="0.02"/>
        <n v="0.01"/>
        <n v="0.25"/>
        <n v="7.0000000000000007E-2"/>
        <n v="0"/>
        <n v="0.27"/>
        <n v="0.11"/>
        <n v="0.1"/>
        <n v="0.13"/>
        <n v="0.09"/>
        <n v="0.2"/>
        <n v="0.19"/>
        <n v="0.17"/>
        <n v="0.08"/>
      </sharedItems>
    </cacheField>
    <cacheField name="Revenue" numFmtId="0">
      <sharedItems containsSemiMixedTypes="0" containsString="0" containsNumber="1" minValue="1023.81" maxValue="76125"/>
    </cacheField>
    <cacheField name="CTR" numFmtId="0">
      <sharedItems containsSemiMixedTypes="0" containsString="0" containsNumber="1" minValue="1.7600000000000001E-2" maxValue="0.8276"/>
    </cacheField>
    <cacheField name="CPC" numFmtId="0">
      <sharedItems containsSemiMixedTypes="0" containsString="0" containsNumber="1" minValue="0.47" maxValue="35.049999999999997"/>
    </cacheField>
    <cacheField name="ROI" numFmtId="0">
      <sharedItems containsSemiMixedTypes="0" containsString="0" containsNumber="1" minValue="-0.69699999999999995" maxValue="24.244399999999999"/>
    </cacheField>
    <cacheField name="Months (Date)" numFmtId="0" databaseField="0">
      <fieldGroup base="0">
        <rangePr groupBy="months" startDate="2023-01-02T00:00:00" endDate="2025-01-01T00:00:00"/>
        <groupItems count="14">
          <s v="&lt;1/2/2023"/>
          <s v="Jan"/>
          <s v="Feb"/>
          <s v="Mar"/>
          <s v="Apr"/>
          <s v="May"/>
          <s v="Jun"/>
          <s v="Jul"/>
          <s v="Aug"/>
          <s v="Sep"/>
          <s v="Oct"/>
          <s v="Nov"/>
          <s v="Dec"/>
          <s v="&gt;1/1/2025"/>
        </groupItems>
      </fieldGroup>
    </cacheField>
    <cacheField name="Quarters (Date)" numFmtId="0" databaseField="0">
      <fieldGroup base="0">
        <rangePr groupBy="quarters" startDate="2023-01-02T00:00:00" endDate="2025-01-01T00:00:00"/>
        <groupItems count="6">
          <s v="&lt;1/2/2023"/>
          <s v="Qtr1"/>
          <s v="Qtr2"/>
          <s v="Qtr3"/>
          <s v="Qtr4"/>
          <s v="&gt;1/1/2025"/>
        </groupItems>
      </fieldGroup>
    </cacheField>
    <cacheField name="Years (Date)" numFmtId="0" databaseField="0">
      <fieldGroup base="0">
        <rangePr groupBy="years" startDate="2023-01-02T00:00:00" endDate="2025-01-01T00:00:00"/>
        <groupItems count="5">
          <s v="&lt;1/2/2023"/>
          <s v="2023"/>
          <s v="2024"/>
          <s v="2025"/>
          <s v="&gt;1/1/2025"/>
        </groupItems>
      </fieldGroup>
    </cacheField>
  </cacheFields>
  <extLst>
    <ext xmlns:x14="http://schemas.microsoft.com/office/spreadsheetml/2009/9/main" uri="{725AE2AE-9491-48be-B2B4-4EB974FC3084}">
      <x14:pivotCacheDefinition pivotCacheId="11330626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4">
  <r>
    <x v="0"/>
    <x v="0"/>
    <x v="0"/>
    <x v="0"/>
    <x v="0"/>
    <x v="0"/>
    <x v="0"/>
    <n v="4341.92"/>
    <n v="7948"/>
    <n v="208"/>
    <n v="49"/>
    <x v="0"/>
    <n v="5957.79"/>
    <n v="2.6200000000000001E-2"/>
    <n v="20.87"/>
    <n v="0.37219999999999998"/>
  </r>
  <r>
    <x v="1"/>
    <x v="1"/>
    <x v="1"/>
    <x v="1"/>
    <x v="1"/>
    <x v="1"/>
    <x v="0"/>
    <n v="3211.52"/>
    <n v="7790"/>
    <n v="886"/>
    <n v="41"/>
    <x v="1"/>
    <n v="7313.16"/>
    <n v="0.1137"/>
    <n v="3.62"/>
    <n v="1.2771999999999999"/>
  </r>
  <r>
    <x v="2"/>
    <x v="2"/>
    <x v="2"/>
    <x v="0"/>
    <x v="2"/>
    <x v="2"/>
    <x v="0"/>
    <n v="2828.02"/>
    <n v="5429"/>
    <n v="502"/>
    <n v="17"/>
    <x v="2"/>
    <n v="5384.96"/>
    <n v="9.2499999999999999E-2"/>
    <n v="5.63"/>
    <n v="0.90410000000000001"/>
  </r>
  <r>
    <x v="3"/>
    <x v="0"/>
    <x v="3"/>
    <x v="1"/>
    <x v="3"/>
    <x v="3"/>
    <x v="1"/>
    <n v="1730.76"/>
    <n v="8184"/>
    <n v="821"/>
    <n v="33"/>
    <x v="3"/>
    <n v="7941.68"/>
    <n v="0.1003"/>
    <n v="2.11"/>
    <n v="3.5886"/>
  </r>
  <r>
    <x v="4"/>
    <x v="3"/>
    <x v="4"/>
    <x v="0"/>
    <x v="2"/>
    <x v="3"/>
    <x v="2"/>
    <n v="4735.9399999999996"/>
    <n v="5473"/>
    <n v="761"/>
    <n v="45"/>
    <x v="4"/>
    <n v="2492.35"/>
    <n v="0.13900000000000001"/>
    <n v="6.22"/>
    <n v="-0.47370000000000001"/>
  </r>
  <r>
    <x v="1"/>
    <x v="1"/>
    <x v="5"/>
    <x v="2"/>
    <x v="4"/>
    <x v="3"/>
    <x v="1"/>
    <n v="1451.91"/>
    <n v="3573"/>
    <n v="592"/>
    <n v="28"/>
    <x v="1"/>
    <n v="18330.96"/>
    <n v="0.16569999999999999"/>
    <n v="2.4500000000000002"/>
    <n v="11.625400000000001"/>
  </r>
  <r>
    <x v="2"/>
    <x v="3"/>
    <x v="6"/>
    <x v="0"/>
    <x v="1"/>
    <x v="0"/>
    <x v="1"/>
    <n v="1339.96"/>
    <n v="2205"/>
    <n v="849"/>
    <n v="16"/>
    <x v="5"/>
    <n v="8983.1200000000008"/>
    <n v="0.38500000000000001"/>
    <n v="1.58"/>
    <n v="5.7039999999999997"/>
  </r>
  <r>
    <x v="5"/>
    <x v="3"/>
    <x v="6"/>
    <x v="0"/>
    <x v="5"/>
    <x v="3"/>
    <x v="1"/>
    <n v="2387.81"/>
    <n v="4006"/>
    <n v="928"/>
    <n v="9"/>
    <x v="6"/>
    <n v="2618.35"/>
    <n v="0.23169999999999999"/>
    <n v="2.57"/>
    <n v="9.6500000000000002E-2"/>
  </r>
  <r>
    <x v="6"/>
    <x v="3"/>
    <x v="7"/>
    <x v="2"/>
    <x v="6"/>
    <x v="2"/>
    <x v="3"/>
    <n v="2547.39"/>
    <n v="2428"/>
    <n v="514"/>
    <n v="31"/>
    <x v="4"/>
    <n v="2195.2600000000002"/>
    <n v="0.2117"/>
    <n v="4.96"/>
    <n v="-0.13819999999999999"/>
  </r>
  <r>
    <x v="7"/>
    <x v="0"/>
    <x v="7"/>
    <x v="2"/>
    <x v="1"/>
    <x v="0"/>
    <x v="0"/>
    <n v="3258.37"/>
    <n v="6139"/>
    <n v="843"/>
    <n v="34"/>
    <x v="3"/>
    <n v="16217.39"/>
    <n v="0.13730000000000001"/>
    <n v="3.87"/>
    <n v="3.9771000000000001"/>
  </r>
  <r>
    <x v="8"/>
    <x v="0"/>
    <x v="4"/>
    <x v="0"/>
    <x v="6"/>
    <x v="3"/>
    <x v="2"/>
    <n v="3091.34"/>
    <n v="4665"/>
    <n v="150"/>
    <n v="37"/>
    <x v="7"/>
    <n v="18223.16"/>
    <n v="3.2199999999999999E-2"/>
    <n v="20.61"/>
    <n v="4.8948999999999998"/>
  </r>
  <r>
    <x v="9"/>
    <x v="3"/>
    <x v="1"/>
    <x v="1"/>
    <x v="6"/>
    <x v="1"/>
    <x v="3"/>
    <n v="1761.01"/>
    <n v="5688"/>
    <n v="315"/>
    <n v="21"/>
    <x v="8"/>
    <n v="15528.62"/>
    <n v="5.5399999999999998E-2"/>
    <n v="5.59"/>
    <n v="7.8179999999999996"/>
  </r>
  <r>
    <x v="10"/>
    <x v="3"/>
    <x v="8"/>
    <x v="1"/>
    <x v="6"/>
    <x v="1"/>
    <x v="3"/>
    <n v="2712.51"/>
    <n v="9938"/>
    <n v="859"/>
    <n v="2"/>
    <x v="9"/>
    <n v="4735.08"/>
    <n v="8.6400000000000005E-2"/>
    <n v="3.16"/>
    <n v="0.74560000000000004"/>
  </r>
  <r>
    <x v="11"/>
    <x v="3"/>
    <x v="9"/>
    <x v="2"/>
    <x v="1"/>
    <x v="1"/>
    <x v="0"/>
    <n v="1054.71"/>
    <n v="7302"/>
    <n v="670"/>
    <n v="28"/>
    <x v="3"/>
    <n v="15020.08"/>
    <n v="9.1800000000000007E-2"/>
    <n v="1.57"/>
    <n v="13.241"/>
  </r>
  <r>
    <x v="12"/>
    <x v="3"/>
    <x v="0"/>
    <x v="0"/>
    <x v="5"/>
    <x v="1"/>
    <x v="1"/>
    <n v="4080.86"/>
    <n v="3958"/>
    <n v="336"/>
    <n v="20"/>
    <x v="4"/>
    <n v="16097.73"/>
    <n v="8.4900000000000003E-2"/>
    <n v="12.15"/>
    <n v="2.9447000000000001"/>
  </r>
  <r>
    <x v="13"/>
    <x v="3"/>
    <x v="3"/>
    <x v="1"/>
    <x v="6"/>
    <x v="3"/>
    <x v="1"/>
    <n v="560.38"/>
    <n v="9916"/>
    <n v="916"/>
    <n v="50"/>
    <x v="1"/>
    <n v="9119.65"/>
    <n v="9.2399999999999996E-2"/>
    <n v="0.61"/>
    <n v="15.273999999999999"/>
  </r>
  <r>
    <x v="14"/>
    <x v="0"/>
    <x v="8"/>
    <x v="1"/>
    <x v="7"/>
    <x v="0"/>
    <x v="2"/>
    <n v="4938.96"/>
    <n v="7697"/>
    <n v="224"/>
    <n v="4"/>
    <x v="5"/>
    <n v="8729.93"/>
    <n v="2.9100000000000001E-2"/>
    <n v="22.05"/>
    <n v="0.76759999999999995"/>
  </r>
  <r>
    <x v="15"/>
    <x v="0"/>
    <x v="10"/>
    <x v="1"/>
    <x v="6"/>
    <x v="1"/>
    <x v="0"/>
    <n v="2740.13"/>
    <n v="1400"/>
    <n v="384"/>
    <n v="19"/>
    <x v="1"/>
    <n v="15481.38"/>
    <n v="0.27429999999999999"/>
    <n v="7.14"/>
    <n v="4.6498999999999997"/>
  </r>
  <r>
    <x v="16"/>
    <x v="0"/>
    <x v="11"/>
    <x v="2"/>
    <x v="6"/>
    <x v="0"/>
    <x v="0"/>
    <n v="2876.66"/>
    <n v="1162"/>
    <n v="939"/>
    <n v="16"/>
    <x v="5"/>
    <n v="8230.09"/>
    <n v="0.80810000000000004"/>
    <n v="3.06"/>
    <n v="1.861"/>
  </r>
  <r>
    <x v="17"/>
    <x v="0"/>
    <x v="5"/>
    <x v="2"/>
    <x v="1"/>
    <x v="2"/>
    <x v="0"/>
    <n v="4378.21"/>
    <n v="1137"/>
    <n v="941"/>
    <n v="35"/>
    <x v="3"/>
    <n v="5826.28"/>
    <n v="0.8276"/>
    <n v="4.6500000000000004"/>
    <n v="0.33069999999999999"/>
  </r>
  <r>
    <x v="18"/>
    <x v="2"/>
    <x v="12"/>
    <x v="0"/>
    <x v="8"/>
    <x v="1"/>
    <x v="0"/>
    <n v="4941.79"/>
    <n v="7902"/>
    <n v="141"/>
    <n v="38"/>
    <x v="10"/>
    <n v="13406.82"/>
    <n v="1.78E-2"/>
    <n v="35.049999999999997"/>
    <n v="1.7129000000000001"/>
  </r>
  <r>
    <x v="19"/>
    <x v="3"/>
    <x v="13"/>
    <x v="1"/>
    <x v="6"/>
    <x v="0"/>
    <x v="0"/>
    <n v="1376.02"/>
    <n v="4872"/>
    <n v="922"/>
    <n v="40"/>
    <x v="3"/>
    <n v="6238.04"/>
    <n v="0.18920000000000001"/>
    <n v="1.49"/>
    <n v="3.5333999999999999"/>
  </r>
  <r>
    <x v="20"/>
    <x v="3"/>
    <x v="12"/>
    <x v="0"/>
    <x v="6"/>
    <x v="3"/>
    <x v="1"/>
    <n v="3324.53"/>
    <n v="7993"/>
    <n v="377"/>
    <n v="42"/>
    <x v="11"/>
    <n v="8491.86"/>
    <n v="4.7199999999999999E-2"/>
    <n v="8.82"/>
    <n v="1.5543"/>
  </r>
  <r>
    <x v="21"/>
    <x v="3"/>
    <x v="3"/>
    <x v="1"/>
    <x v="3"/>
    <x v="2"/>
    <x v="0"/>
    <n v="2318.27"/>
    <n v="3481"/>
    <n v="688"/>
    <n v="26"/>
    <x v="3"/>
    <n v="2667.33"/>
    <n v="0.1976"/>
    <n v="3.37"/>
    <n v="0.15060000000000001"/>
  </r>
  <r>
    <x v="22"/>
    <x v="3"/>
    <x v="7"/>
    <x v="2"/>
    <x v="0"/>
    <x v="1"/>
    <x v="3"/>
    <n v="2417.89"/>
    <n v="8982"/>
    <n v="282"/>
    <n v="29"/>
    <x v="12"/>
    <n v="10829.6"/>
    <n v="3.1399999999999997E-2"/>
    <n v="8.57"/>
    <n v="3.4788999999999999"/>
  </r>
  <r>
    <x v="23"/>
    <x v="1"/>
    <x v="7"/>
    <x v="2"/>
    <x v="6"/>
    <x v="0"/>
    <x v="1"/>
    <n v="610.83000000000004"/>
    <n v="5841"/>
    <n v="357"/>
    <n v="45"/>
    <x v="13"/>
    <n v="1134.52"/>
    <n v="6.1100000000000002E-2"/>
    <n v="1.71"/>
    <n v="0.85729999999999995"/>
  </r>
  <r>
    <x v="24"/>
    <x v="3"/>
    <x v="14"/>
    <x v="0"/>
    <x v="0"/>
    <x v="0"/>
    <x v="2"/>
    <n v="1203.33"/>
    <n v="5425"/>
    <n v="764"/>
    <n v="36"/>
    <x v="1"/>
    <n v="2873.42"/>
    <n v="0.14080000000000001"/>
    <n v="1.58"/>
    <n v="1.3878999999999999"/>
  </r>
  <r>
    <x v="25"/>
    <x v="3"/>
    <x v="15"/>
    <x v="2"/>
    <x v="6"/>
    <x v="0"/>
    <x v="0"/>
    <n v="1532.29"/>
    <n v="8742"/>
    <n v="635"/>
    <n v="20"/>
    <x v="2"/>
    <n v="5409.03"/>
    <n v="7.2599999999999998E-2"/>
    <n v="2.41"/>
    <n v="2.5299999999999998"/>
  </r>
  <r>
    <x v="26"/>
    <x v="3"/>
    <x v="15"/>
    <x v="2"/>
    <x v="6"/>
    <x v="0"/>
    <x v="0"/>
    <n v="3114.54"/>
    <n v="7818"/>
    <n v="441"/>
    <n v="39"/>
    <x v="14"/>
    <n v="7945.99"/>
    <n v="5.6399999999999999E-2"/>
    <n v="7.06"/>
    <n v="1.5512999999999999"/>
  </r>
  <r>
    <x v="27"/>
    <x v="2"/>
    <x v="1"/>
    <x v="1"/>
    <x v="2"/>
    <x v="2"/>
    <x v="0"/>
    <n v="1321.6"/>
    <n v="1888"/>
    <n v="203"/>
    <n v="41"/>
    <x v="15"/>
    <n v="5218.2700000000004"/>
    <n v="0.1075"/>
    <n v="6.51"/>
    <n v="2.9483999999999999"/>
  </r>
  <r>
    <x v="28"/>
    <x v="2"/>
    <x v="14"/>
    <x v="0"/>
    <x v="6"/>
    <x v="3"/>
    <x v="3"/>
    <n v="2383.64"/>
    <n v="3052"/>
    <n v="287"/>
    <n v="36"/>
    <x v="13"/>
    <n v="3515.7"/>
    <n v="9.4E-2"/>
    <n v="8.31"/>
    <n v="0.47489999999999999"/>
  </r>
  <r>
    <x v="29"/>
    <x v="3"/>
    <x v="4"/>
    <x v="0"/>
    <x v="4"/>
    <x v="0"/>
    <x v="3"/>
    <n v="4165.55"/>
    <n v="5640"/>
    <n v="532"/>
    <n v="22"/>
    <x v="3"/>
    <n v="8609.61"/>
    <n v="9.4299999999999995E-2"/>
    <n v="7.83"/>
    <n v="1.0669"/>
  </r>
  <r>
    <x v="30"/>
    <x v="0"/>
    <x v="2"/>
    <x v="0"/>
    <x v="2"/>
    <x v="2"/>
    <x v="3"/>
    <n v="3637.12"/>
    <n v="7365"/>
    <n v="709"/>
    <n v="12"/>
    <x v="5"/>
    <n v="9941.1200000000008"/>
    <n v="9.6299999999999997E-2"/>
    <n v="5.13"/>
    <n v="1.7332000000000001"/>
  </r>
  <r>
    <x v="31"/>
    <x v="0"/>
    <x v="6"/>
    <x v="0"/>
    <x v="2"/>
    <x v="1"/>
    <x v="3"/>
    <n v="4462.95"/>
    <n v="6323"/>
    <n v="504"/>
    <n v="25"/>
    <x v="1"/>
    <n v="15075.84"/>
    <n v="7.9699999999999993E-2"/>
    <n v="8.86"/>
    <n v="2.3780000000000001"/>
  </r>
  <r>
    <x v="32"/>
    <x v="3"/>
    <x v="16"/>
    <x v="0"/>
    <x v="2"/>
    <x v="2"/>
    <x v="2"/>
    <n v="2009.35"/>
    <n v="1147"/>
    <n v="543"/>
    <n v="16"/>
    <x v="2"/>
    <n v="16548.38"/>
    <n v="0.47339999999999999"/>
    <n v="3.7"/>
    <n v="7.2356999999999996"/>
  </r>
  <r>
    <x v="33"/>
    <x v="1"/>
    <x v="7"/>
    <x v="2"/>
    <x v="0"/>
    <x v="3"/>
    <x v="0"/>
    <n v="3950.09"/>
    <n v="8663"/>
    <n v="227"/>
    <n v="43"/>
    <x v="16"/>
    <n v="9338.99"/>
    <n v="2.6200000000000001E-2"/>
    <n v="17.399999999999999"/>
    <n v="1.3642000000000001"/>
  </r>
  <r>
    <x v="34"/>
    <x v="1"/>
    <x v="3"/>
    <x v="1"/>
    <x v="2"/>
    <x v="2"/>
    <x v="0"/>
    <n v="1287.8900000000001"/>
    <n v="1530"/>
    <n v="781"/>
    <n v="19"/>
    <x v="5"/>
    <n v="18695.55"/>
    <n v="0.51049999999999995"/>
    <n v="1.65"/>
    <n v="13.516400000000001"/>
  </r>
  <r>
    <x v="35"/>
    <x v="0"/>
    <x v="7"/>
    <x v="2"/>
    <x v="6"/>
    <x v="1"/>
    <x v="0"/>
    <n v="3378.78"/>
    <n v="5196"/>
    <n v="723"/>
    <n v="42"/>
    <x v="4"/>
    <n v="1023.81"/>
    <n v="0.1391"/>
    <n v="4.67"/>
    <n v="-0.69699999999999995"/>
  </r>
  <r>
    <x v="36"/>
    <x v="0"/>
    <x v="17"/>
    <x v="2"/>
    <x v="7"/>
    <x v="0"/>
    <x v="3"/>
    <n v="3632.86"/>
    <n v="8716"/>
    <n v="259"/>
    <n v="44"/>
    <x v="17"/>
    <n v="15651.6"/>
    <n v="2.9700000000000001E-2"/>
    <n v="14.03"/>
    <n v="3.3083"/>
  </r>
  <r>
    <x v="37"/>
    <x v="1"/>
    <x v="7"/>
    <x v="2"/>
    <x v="2"/>
    <x v="3"/>
    <x v="0"/>
    <n v="1154.8399999999999"/>
    <n v="4205"/>
    <n v="538"/>
    <n v="3"/>
    <x v="6"/>
    <n v="4112.01"/>
    <n v="0.12790000000000001"/>
    <n v="2.15"/>
    <n v="2.5607000000000002"/>
  </r>
  <r>
    <x v="38"/>
    <x v="3"/>
    <x v="4"/>
    <x v="0"/>
    <x v="6"/>
    <x v="1"/>
    <x v="3"/>
    <n v="1862.04"/>
    <n v="3569"/>
    <n v="774"/>
    <n v="11"/>
    <x v="6"/>
    <n v="8787.16"/>
    <n v="0.21690000000000001"/>
    <n v="2.41"/>
    <n v="3.7191000000000001"/>
  </r>
  <r>
    <x v="39"/>
    <x v="1"/>
    <x v="2"/>
    <x v="0"/>
    <x v="6"/>
    <x v="0"/>
    <x v="1"/>
    <n v="1555.73"/>
    <n v="9432"/>
    <n v="623"/>
    <n v="29"/>
    <x v="1"/>
    <n v="18952.14"/>
    <n v="6.6100000000000006E-2"/>
    <n v="2.5"/>
    <n v="11.1822"/>
  </r>
  <r>
    <x v="40"/>
    <x v="1"/>
    <x v="17"/>
    <x v="2"/>
    <x v="6"/>
    <x v="1"/>
    <x v="2"/>
    <n v="3973.06"/>
    <n v="4187"/>
    <n v="619"/>
    <n v="5"/>
    <x v="6"/>
    <n v="13059.27"/>
    <n v="0.14779999999999999"/>
    <n v="6.42"/>
    <n v="2.2869999999999999"/>
  </r>
  <r>
    <x v="41"/>
    <x v="0"/>
    <x v="18"/>
    <x v="0"/>
    <x v="6"/>
    <x v="3"/>
    <x v="2"/>
    <n v="3970.41"/>
    <n v="1114"/>
    <n v="869"/>
    <n v="46"/>
    <x v="1"/>
    <n v="6219.6"/>
    <n v="0.78010000000000002"/>
    <n v="4.57"/>
    <n v="0.5665"/>
  </r>
  <r>
    <x v="42"/>
    <x v="0"/>
    <x v="2"/>
    <x v="0"/>
    <x v="1"/>
    <x v="3"/>
    <x v="2"/>
    <n v="2946.93"/>
    <n v="9307"/>
    <n v="583"/>
    <n v="39"/>
    <x v="8"/>
    <n v="5436.82"/>
    <n v="6.2600000000000003E-2"/>
    <n v="5.05"/>
    <n v="0.84489999999999998"/>
  </r>
  <r>
    <x v="43"/>
    <x v="3"/>
    <x v="5"/>
    <x v="2"/>
    <x v="6"/>
    <x v="3"/>
    <x v="3"/>
    <n v="2916.69"/>
    <n v="2060"/>
    <n v="172"/>
    <n v="17"/>
    <x v="12"/>
    <n v="11932.58"/>
    <n v="8.3500000000000005E-2"/>
    <n v="16.96"/>
    <n v="3.0911"/>
  </r>
  <r>
    <x v="44"/>
    <x v="3"/>
    <x v="0"/>
    <x v="0"/>
    <x v="1"/>
    <x v="0"/>
    <x v="0"/>
    <n v="3636.93"/>
    <n v="6856"/>
    <n v="352"/>
    <n v="26"/>
    <x v="8"/>
    <n v="18906.16"/>
    <n v="5.1299999999999998E-2"/>
    <n v="10.33"/>
    <n v="4.1984000000000004"/>
  </r>
  <r>
    <x v="45"/>
    <x v="3"/>
    <x v="12"/>
    <x v="0"/>
    <x v="2"/>
    <x v="2"/>
    <x v="1"/>
    <n v="3540.6"/>
    <n v="8400"/>
    <n v="979"/>
    <n v="28"/>
    <x v="2"/>
    <n v="17279.68"/>
    <n v="0.11650000000000001"/>
    <n v="3.62"/>
    <n v="3.8803999999999998"/>
  </r>
  <r>
    <x v="46"/>
    <x v="3"/>
    <x v="6"/>
    <x v="0"/>
    <x v="1"/>
    <x v="1"/>
    <x v="0"/>
    <n v="950.21"/>
    <n v="9942"/>
    <n v="530"/>
    <n v="31"/>
    <x v="4"/>
    <n v="12641.66"/>
    <n v="5.33E-2"/>
    <n v="1.79"/>
    <n v="12.3041"/>
  </r>
  <r>
    <x v="47"/>
    <x v="0"/>
    <x v="2"/>
    <x v="0"/>
    <x v="2"/>
    <x v="1"/>
    <x v="3"/>
    <n v="2056.67"/>
    <n v="5688"/>
    <n v="583"/>
    <n v="49"/>
    <x v="18"/>
    <n v="14541.76"/>
    <n v="0.10249999999999999"/>
    <n v="3.53"/>
    <n v="6.0705"/>
  </r>
  <r>
    <x v="48"/>
    <x v="1"/>
    <x v="1"/>
    <x v="1"/>
    <x v="1"/>
    <x v="0"/>
    <x v="0"/>
    <n v="2756.2"/>
    <n v="5013"/>
    <n v="664"/>
    <n v="31"/>
    <x v="1"/>
    <n v="6824.82"/>
    <n v="0.13250000000000001"/>
    <n v="4.1500000000000004"/>
    <n v="1.4762"/>
  </r>
  <r>
    <x v="35"/>
    <x v="0"/>
    <x v="5"/>
    <x v="2"/>
    <x v="1"/>
    <x v="0"/>
    <x v="2"/>
    <n v="1328.71"/>
    <n v="1941"/>
    <n v="177"/>
    <n v="1"/>
    <x v="6"/>
    <n v="9215.7199999999993"/>
    <n v="9.1200000000000003E-2"/>
    <n v="7.51"/>
    <n v="5.9358000000000004"/>
  </r>
  <r>
    <x v="36"/>
    <x v="0"/>
    <x v="2"/>
    <x v="0"/>
    <x v="6"/>
    <x v="0"/>
    <x v="0"/>
    <n v="1250"/>
    <n v="50000"/>
    <n v="2500"/>
    <n v="125"/>
    <x v="1"/>
    <n v="18750"/>
    <n v="0.05"/>
    <n v="0.5"/>
    <n v="14"/>
  </r>
  <r>
    <x v="37"/>
    <x v="0"/>
    <x v="14"/>
    <x v="0"/>
    <x v="1"/>
    <x v="2"/>
    <x v="0"/>
    <n v="3200"/>
    <n v="120000"/>
    <n v="4800"/>
    <n v="240"/>
    <x v="1"/>
    <n v="36000"/>
    <n v="0.04"/>
    <n v="0.67"/>
    <n v="10.25"/>
  </r>
  <r>
    <x v="38"/>
    <x v="1"/>
    <x v="5"/>
    <x v="2"/>
    <x v="0"/>
    <x v="1"/>
    <x v="0"/>
    <n v="2800"/>
    <n v="95000"/>
    <n v="4750"/>
    <n v="190"/>
    <x v="3"/>
    <n v="28500"/>
    <n v="0.05"/>
    <n v="0.59"/>
    <n v="9.18"/>
  </r>
  <r>
    <x v="39"/>
    <x v="3"/>
    <x v="2"/>
    <x v="0"/>
    <x v="6"/>
    <x v="3"/>
    <x v="0"/>
    <n v="4100"/>
    <n v="60000"/>
    <n v="1800"/>
    <n v="90"/>
    <x v="1"/>
    <n v="22500"/>
    <n v="0.03"/>
    <n v="2.2799999999999998"/>
    <n v="4.49"/>
  </r>
  <r>
    <x v="40"/>
    <x v="0"/>
    <x v="16"/>
    <x v="0"/>
    <x v="0"/>
    <x v="2"/>
    <x v="0"/>
    <n v="980"/>
    <n v="40000"/>
    <n v="2000"/>
    <n v="100"/>
    <x v="1"/>
    <n v="15000"/>
    <n v="0.05"/>
    <n v="0.49"/>
    <n v="14.31"/>
  </r>
  <r>
    <x v="41"/>
    <x v="3"/>
    <x v="8"/>
    <x v="1"/>
    <x v="3"/>
    <x v="0"/>
    <x v="0"/>
    <n v="2100"/>
    <n v="70000"/>
    <n v="3500"/>
    <n v="175"/>
    <x v="1"/>
    <n v="26250"/>
    <n v="0.05"/>
    <n v="0.6"/>
    <n v="11.5"/>
  </r>
  <r>
    <x v="42"/>
    <x v="3"/>
    <x v="3"/>
    <x v="1"/>
    <x v="3"/>
    <x v="2"/>
    <x v="0"/>
    <n v="3400"/>
    <n v="110000"/>
    <n v="4400"/>
    <n v="220"/>
    <x v="1"/>
    <n v="33000"/>
    <n v="0.04"/>
    <n v="0.77"/>
    <n v="8.7100000000000009"/>
  </r>
  <r>
    <x v="43"/>
    <x v="1"/>
    <x v="3"/>
    <x v="1"/>
    <x v="0"/>
    <x v="1"/>
    <x v="0"/>
    <n v="2950"/>
    <n v="88000"/>
    <n v="3520"/>
    <n v="176"/>
    <x v="1"/>
    <n v="26400"/>
    <n v="0.04"/>
    <n v="0.84"/>
    <n v="7.95"/>
  </r>
  <r>
    <x v="44"/>
    <x v="0"/>
    <x v="18"/>
    <x v="0"/>
    <x v="6"/>
    <x v="3"/>
    <x v="0"/>
    <n v="5000"/>
    <n v="55000"/>
    <n v="1650"/>
    <n v="82"/>
    <x v="1"/>
    <n v="20500"/>
    <n v="0.03"/>
    <n v="3.03"/>
    <n v="3.1"/>
  </r>
  <r>
    <x v="45"/>
    <x v="3"/>
    <x v="11"/>
    <x v="2"/>
    <x v="2"/>
    <x v="0"/>
    <x v="0"/>
    <n v="1750"/>
    <n v="60000"/>
    <n v="3000"/>
    <n v="150"/>
    <x v="1"/>
    <n v="22500"/>
    <n v="0.05"/>
    <n v="0.57999999999999996"/>
    <n v="11.86"/>
  </r>
  <r>
    <x v="46"/>
    <x v="1"/>
    <x v="11"/>
    <x v="2"/>
    <x v="7"/>
    <x v="2"/>
    <x v="0"/>
    <n v="2300"/>
    <n v="80000"/>
    <n v="3200"/>
    <n v="160"/>
    <x v="1"/>
    <n v="24000"/>
    <n v="0.04"/>
    <n v="0.72"/>
    <n v="9.43"/>
  </r>
  <r>
    <x v="47"/>
    <x v="3"/>
    <x v="4"/>
    <x v="0"/>
    <x v="0"/>
    <x v="1"/>
    <x v="2"/>
    <n v="3900"/>
    <n v="105000"/>
    <n v="4200"/>
    <n v="210"/>
    <x v="1"/>
    <n v="31500"/>
    <n v="0.04"/>
    <n v="0.93"/>
    <n v="7.08"/>
  </r>
  <r>
    <x v="48"/>
    <x v="3"/>
    <x v="18"/>
    <x v="0"/>
    <x v="0"/>
    <x v="3"/>
    <x v="2"/>
    <n v="4500"/>
    <n v="50000"/>
    <n v="1500"/>
    <n v="75"/>
    <x v="1"/>
    <n v="18750"/>
    <n v="0.03"/>
    <n v="3"/>
    <n v="3.17"/>
  </r>
  <r>
    <x v="49"/>
    <x v="1"/>
    <x v="5"/>
    <x v="2"/>
    <x v="0"/>
    <x v="0"/>
    <x v="2"/>
    <n v="2200"/>
    <n v="72000"/>
    <n v="3600"/>
    <n v="180"/>
    <x v="1"/>
    <n v="27000"/>
    <n v="0.05"/>
    <n v="0.61"/>
    <n v="11.27"/>
  </r>
  <r>
    <x v="50"/>
    <x v="3"/>
    <x v="15"/>
    <x v="2"/>
    <x v="7"/>
    <x v="1"/>
    <x v="2"/>
    <n v="3100"/>
    <n v="92000"/>
    <n v="3680"/>
    <n v="184"/>
    <x v="1"/>
    <n v="27600"/>
    <n v="0.04"/>
    <n v="0.84"/>
    <n v="7.9"/>
  </r>
  <r>
    <x v="51"/>
    <x v="3"/>
    <x v="16"/>
    <x v="0"/>
    <x v="2"/>
    <x v="2"/>
    <x v="2"/>
    <n v="2700"/>
    <n v="90000"/>
    <n v="3600"/>
    <n v="180"/>
    <x v="1"/>
    <n v="27000"/>
    <n v="0.04"/>
    <n v="0.75"/>
    <n v="9"/>
  </r>
  <r>
    <x v="52"/>
    <x v="3"/>
    <x v="4"/>
    <x v="0"/>
    <x v="2"/>
    <x v="0"/>
    <x v="2"/>
    <n v="1850"/>
    <n v="65000"/>
    <n v="3250"/>
    <n v="162"/>
    <x v="1"/>
    <n v="24375"/>
    <n v="0.05"/>
    <n v="0.56999999999999995"/>
    <n v="12.18"/>
  </r>
  <r>
    <x v="53"/>
    <x v="3"/>
    <x v="18"/>
    <x v="0"/>
    <x v="1"/>
    <x v="3"/>
    <x v="2"/>
    <n v="6000"/>
    <n v="62000"/>
    <n v="1860"/>
    <n v="93"/>
    <x v="1"/>
    <n v="23250"/>
    <n v="0.03"/>
    <n v="3.23"/>
    <n v="2.88"/>
  </r>
  <r>
    <x v="54"/>
    <x v="1"/>
    <x v="2"/>
    <x v="0"/>
    <x v="6"/>
    <x v="2"/>
    <x v="2"/>
    <n v="2100"/>
    <n v="75000"/>
    <n v="3000"/>
    <n v="150"/>
    <x v="1"/>
    <n v="22500"/>
    <n v="0.04"/>
    <n v="0.7"/>
    <n v="9.7100000000000009"/>
  </r>
  <r>
    <x v="55"/>
    <x v="3"/>
    <x v="8"/>
    <x v="1"/>
    <x v="1"/>
    <x v="1"/>
    <x v="2"/>
    <n v="3300"/>
    <n v="98000"/>
    <n v="3920"/>
    <n v="196"/>
    <x v="1"/>
    <n v="29400"/>
    <n v="0.04"/>
    <n v="0.84"/>
    <n v="7.91"/>
  </r>
  <r>
    <x v="56"/>
    <x v="1"/>
    <x v="3"/>
    <x v="1"/>
    <x v="6"/>
    <x v="0"/>
    <x v="2"/>
    <n v="1400"/>
    <n v="55000"/>
    <n v="2750"/>
    <n v="138"/>
    <x v="1"/>
    <n v="20625"/>
    <n v="0.05"/>
    <n v="0.51"/>
    <n v="13.73"/>
  </r>
  <r>
    <x v="57"/>
    <x v="0"/>
    <x v="16"/>
    <x v="0"/>
    <x v="2"/>
    <x v="3"/>
    <x v="2"/>
    <n v="4800"/>
    <n v="52000"/>
    <n v="1560"/>
    <n v="78"/>
    <x v="1"/>
    <n v="19500"/>
    <n v="0.03"/>
    <n v="3.08"/>
    <n v="3.06"/>
  </r>
  <r>
    <x v="58"/>
    <x v="3"/>
    <x v="17"/>
    <x v="2"/>
    <x v="2"/>
    <x v="0"/>
    <x v="2"/>
    <n v="1950"/>
    <n v="68000"/>
    <n v="3400"/>
    <n v="170"/>
    <x v="1"/>
    <n v="25500"/>
    <n v="0.05"/>
    <n v="0.56999999999999995"/>
    <n v="12.08"/>
  </r>
  <r>
    <x v="59"/>
    <x v="3"/>
    <x v="5"/>
    <x v="2"/>
    <x v="1"/>
    <x v="2"/>
    <x v="2"/>
    <n v="3550"/>
    <n v="115000"/>
    <n v="4600"/>
    <n v="230"/>
    <x v="1"/>
    <n v="34500"/>
    <n v="0.04"/>
    <n v="0.77"/>
    <n v="8.7200000000000006"/>
  </r>
  <r>
    <x v="60"/>
    <x v="3"/>
    <x v="0"/>
    <x v="0"/>
    <x v="2"/>
    <x v="1"/>
    <x v="1"/>
    <n v="2900"/>
    <n v="87000"/>
    <n v="3480"/>
    <n v="174"/>
    <x v="1"/>
    <n v="26100"/>
    <n v="0.04"/>
    <n v="0.83"/>
    <n v="8"/>
  </r>
  <r>
    <x v="61"/>
    <x v="1"/>
    <x v="7"/>
    <x v="2"/>
    <x v="8"/>
    <x v="3"/>
    <x v="1"/>
    <n v="5200"/>
    <n v="54000"/>
    <n v="1620"/>
    <n v="81"/>
    <x v="1"/>
    <n v="20250"/>
    <n v="0.03"/>
    <n v="3.21"/>
    <n v="2.89"/>
  </r>
  <r>
    <x v="62"/>
    <x v="3"/>
    <x v="1"/>
    <x v="1"/>
    <x v="1"/>
    <x v="0"/>
    <x v="1"/>
    <n v="2300"/>
    <n v="74000"/>
    <n v="3700"/>
    <n v="185"/>
    <x v="1"/>
    <n v="27750"/>
    <n v="0.05"/>
    <n v="0.62"/>
    <n v="11.07"/>
  </r>
  <r>
    <x v="63"/>
    <x v="3"/>
    <x v="11"/>
    <x v="2"/>
    <x v="1"/>
    <x v="2"/>
    <x v="1"/>
    <n v="2600"/>
    <n v="85000"/>
    <n v="3400"/>
    <n v="170"/>
    <x v="1"/>
    <n v="25500"/>
    <n v="0.04"/>
    <n v="0.76"/>
    <n v="8.81"/>
  </r>
  <r>
    <x v="64"/>
    <x v="3"/>
    <x v="8"/>
    <x v="1"/>
    <x v="1"/>
    <x v="0"/>
    <x v="1"/>
    <n v="1600"/>
    <n v="62000"/>
    <n v="3100"/>
    <n v="155"/>
    <x v="1"/>
    <n v="23250"/>
    <n v="0.05"/>
    <n v="0.52"/>
    <n v="13.53"/>
  </r>
  <r>
    <x v="65"/>
    <x v="0"/>
    <x v="3"/>
    <x v="1"/>
    <x v="2"/>
    <x v="1"/>
    <x v="1"/>
    <n v="3700"/>
    <n v="102000"/>
    <n v="4080"/>
    <n v="204"/>
    <x v="1"/>
    <n v="30600"/>
    <n v="0.04"/>
    <n v="0.91"/>
    <n v="7.27"/>
  </r>
  <r>
    <x v="66"/>
    <x v="3"/>
    <x v="14"/>
    <x v="0"/>
    <x v="2"/>
    <x v="3"/>
    <x v="1"/>
    <n v="5600"/>
    <n v="58000"/>
    <n v="1740"/>
    <n v="87"/>
    <x v="1"/>
    <n v="21750"/>
    <n v="0.03"/>
    <n v="3.22"/>
    <n v="2.88"/>
  </r>
  <r>
    <x v="67"/>
    <x v="3"/>
    <x v="12"/>
    <x v="0"/>
    <x v="1"/>
    <x v="2"/>
    <x v="1"/>
    <n v="3200"/>
    <n v="100000"/>
    <n v="4000"/>
    <n v="200"/>
    <x v="1"/>
    <n v="30000"/>
    <n v="0.04"/>
    <n v="0.8"/>
    <n v="8.3800000000000008"/>
  </r>
  <r>
    <x v="68"/>
    <x v="0"/>
    <x v="12"/>
    <x v="0"/>
    <x v="6"/>
    <x v="1"/>
    <x v="1"/>
    <n v="2800"/>
    <n v="84000"/>
    <n v="3360"/>
    <n v="168"/>
    <x v="1"/>
    <n v="25200"/>
    <n v="0.04"/>
    <n v="0.83"/>
    <n v="8"/>
  </r>
  <r>
    <x v="69"/>
    <x v="3"/>
    <x v="7"/>
    <x v="2"/>
    <x v="2"/>
    <x v="0"/>
    <x v="1"/>
    <n v="1900"/>
    <n v="67000"/>
    <n v="3350"/>
    <n v="168"/>
    <x v="1"/>
    <n v="25125"/>
    <n v="0.05"/>
    <n v="0.56999999999999995"/>
    <n v="12.22"/>
  </r>
  <r>
    <x v="70"/>
    <x v="0"/>
    <x v="14"/>
    <x v="0"/>
    <x v="6"/>
    <x v="3"/>
    <x v="1"/>
    <n v="4900"/>
    <n v="53000"/>
    <n v="1590"/>
    <n v="80"/>
    <x v="1"/>
    <n v="19875"/>
    <n v="0.03"/>
    <n v="3.08"/>
    <n v="3.06"/>
  </r>
  <r>
    <x v="71"/>
    <x v="0"/>
    <x v="3"/>
    <x v="1"/>
    <x v="0"/>
    <x v="0"/>
    <x v="1"/>
    <n v="2450"/>
    <n v="76000"/>
    <n v="3800"/>
    <n v="190"/>
    <x v="1"/>
    <n v="28500"/>
    <n v="0.05"/>
    <n v="0.64"/>
    <n v="10.63"/>
  </r>
  <r>
    <x v="72"/>
    <x v="3"/>
    <x v="9"/>
    <x v="2"/>
    <x v="6"/>
    <x v="2"/>
    <x v="1"/>
    <n v="2150"/>
    <n v="78000"/>
    <n v="3120"/>
    <n v="156"/>
    <x v="1"/>
    <n v="23400"/>
    <n v="0.04"/>
    <n v="0.69"/>
    <n v="9.8800000000000008"/>
  </r>
  <r>
    <x v="73"/>
    <x v="1"/>
    <x v="16"/>
    <x v="0"/>
    <x v="1"/>
    <x v="1"/>
    <x v="3"/>
    <n v="3500"/>
    <n v="100000"/>
    <n v="4000"/>
    <n v="200"/>
    <x v="1"/>
    <n v="30000"/>
    <n v="0.04"/>
    <n v="0.88"/>
    <n v="7.57"/>
  </r>
  <r>
    <x v="74"/>
    <x v="3"/>
    <x v="5"/>
    <x v="2"/>
    <x v="6"/>
    <x v="3"/>
    <x v="3"/>
    <n v="5300"/>
    <n v="56000"/>
    <n v="1680"/>
    <n v="84"/>
    <x v="1"/>
    <n v="21000"/>
    <n v="0.03"/>
    <n v="3.15"/>
    <n v="2.96"/>
  </r>
  <r>
    <x v="75"/>
    <x v="0"/>
    <x v="0"/>
    <x v="0"/>
    <x v="8"/>
    <x v="0"/>
    <x v="3"/>
    <n v="2050"/>
    <n v="69000"/>
    <n v="3450"/>
    <n v="172"/>
    <x v="1"/>
    <n v="25875"/>
    <n v="0.05"/>
    <n v="0.59"/>
    <n v="11.62"/>
  </r>
  <r>
    <x v="76"/>
    <x v="3"/>
    <x v="7"/>
    <x v="2"/>
    <x v="2"/>
    <x v="2"/>
    <x v="3"/>
    <n v="2900"/>
    <n v="93000"/>
    <n v="3720"/>
    <n v="186"/>
    <x v="1"/>
    <n v="27900"/>
    <n v="0.04"/>
    <n v="0.78"/>
    <n v="8.6199999999999992"/>
  </r>
  <r>
    <x v="77"/>
    <x v="1"/>
    <x v="15"/>
    <x v="2"/>
    <x v="9"/>
    <x v="0"/>
    <x v="3"/>
    <n v="1700"/>
    <n v="64000"/>
    <n v="3200"/>
    <n v="160"/>
    <x v="1"/>
    <n v="24000"/>
    <n v="0.05"/>
    <n v="0.53"/>
    <n v="13.12"/>
  </r>
  <r>
    <x v="78"/>
    <x v="2"/>
    <x v="3"/>
    <x v="1"/>
    <x v="1"/>
    <x v="1"/>
    <x v="3"/>
    <n v="3800"/>
    <n v="104000"/>
    <n v="4160"/>
    <n v="208"/>
    <x v="1"/>
    <n v="31200"/>
    <n v="0.04"/>
    <n v="0.91"/>
    <n v="7.21"/>
  </r>
  <r>
    <x v="79"/>
    <x v="2"/>
    <x v="6"/>
    <x v="0"/>
    <x v="2"/>
    <x v="3"/>
    <x v="3"/>
    <n v="5700"/>
    <n v="59000"/>
    <n v="1770"/>
    <n v="88"/>
    <x v="1"/>
    <n v="22125"/>
    <n v="0.03"/>
    <n v="3.22"/>
    <n v="2.88"/>
  </r>
  <r>
    <x v="80"/>
    <x v="2"/>
    <x v="0"/>
    <x v="0"/>
    <x v="4"/>
    <x v="2"/>
    <x v="3"/>
    <n v="2400"/>
    <n v="82000"/>
    <n v="3280"/>
    <n v="164"/>
    <x v="1"/>
    <n v="24600"/>
    <n v="0.04"/>
    <n v="0.73"/>
    <n v="9.25"/>
  </r>
  <r>
    <x v="81"/>
    <x v="2"/>
    <x v="8"/>
    <x v="1"/>
    <x v="6"/>
    <x v="1"/>
    <x v="3"/>
    <n v="3100"/>
    <n v="94000"/>
    <n v="3760"/>
    <n v="188"/>
    <x v="1"/>
    <n v="28200"/>
    <n v="0.04"/>
    <n v="0.82"/>
    <n v="8.1"/>
  </r>
  <r>
    <x v="0"/>
    <x v="1"/>
    <x v="10"/>
    <x v="1"/>
    <x v="2"/>
    <x v="0"/>
    <x v="3"/>
    <n v="2250"/>
    <n v="73000"/>
    <n v="3650"/>
    <n v="182"/>
    <x v="1"/>
    <n v="27375"/>
    <n v="0.05"/>
    <n v="0.62"/>
    <n v="11.17"/>
  </r>
  <r>
    <x v="1"/>
    <x v="1"/>
    <x v="5"/>
    <x v="2"/>
    <x v="2"/>
    <x v="3"/>
    <x v="3"/>
    <n v="5500"/>
    <n v="57000"/>
    <n v="1710"/>
    <n v="86"/>
    <x v="1"/>
    <n v="21375"/>
    <n v="0.03"/>
    <n v="3.22"/>
    <n v="2.89"/>
  </r>
  <r>
    <x v="2"/>
    <x v="2"/>
    <x v="8"/>
    <x v="1"/>
    <x v="2"/>
    <x v="0"/>
    <x v="3"/>
    <n v="1350"/>
    <n v="58000"/>
    <n v="2900"/>
    <n v="145"/>
    <x v="1"/>
    <n v="21750"/>
    <n v="0.05"/>
    <n v="0.47"/>
    <n v="15.11"/>
  </r>
  <r>
    <x v="3"/>
    <x v="0"/>
    <x v="8"/>
    <x v="1"/>
    <x v="6"/>
    <x v="2"/>
    <x v="3"/>
    <n v="2700"/>
    <n v="88000"/>
    <n v="3520"/>
    <n v="176"/>
    <x v="1"/>
    <n v="26400"/>
    <n v="0.04"/>
    <n v="0.77"/>
    <n v="8.7799999999999994"/>
  </r>
  <r>
    <x v="4"/>
    <x v="2"/>
    <x v="5"/>
    <x v="2"/>
    <x v="1"/>
    <x v="3"/>
    <x v="3"/>
    <n v="5900"/>
    <n v="61000"/>
    <n v="1830"/>
    <n v="92"/>
    <x v="1"/>
    <n v="22875"/>
    <n v="0.03"/>
    <n v="3.22"/>
    <n v="2.88"/>
  </r>
  <r>
    <x v="35"/>
    <x v="3"/>
    <x v="13"/>
    <x v="1"/>
    <x v="4"/>
    <x v="1"/>
    <x v="0"/>
    <n v="3000"/>
    <n v="90000"/>
    <n v="3600"/>
    <n v="180"/>
    <x v="1"/>
    <n v="27000"/>
    <n v="0.04"/>
    <n v="0.83"/>
    <n v="8"/>
  </r>
  <r>
    <x v="36"/>
    <x v="2"/>
    <x v="0"/>
    <x v="0"/>
    <x v="7"/>
    <x v="0"/>
    <x v="0"/>
    <n v="1450"/>
    <n v="60000"/>
    <n v="3000"/>
    <n v="150"/>
    <x v="1"/>
    <n v="22500"/>
    <n v="0.05"/>
    <n v="0.48"/>
    <n v="14.52"/>
  </r>
  <r>
    <x v="37"/>
    <x v="1"/>
    <x v="4"/>
    <x v="0"/>
    <x v="8"/>
    <x v="2"/>
    <x v="0"/>
    <n v="3400"/>
    <n v="115000"/>
    <n v="4600"/>
    <n v="230"/>
    <x v="1"/>
    <n v="34500"/>
    <n v="0.04"/>
    <n v="0.74"/>
    <n v="9.15"/>
  </r>
  <r>
    <x v="38"/>
    <x v="0"/>
    <x v="14"/>
    <x v="0"/>
    <x v="2"/>
    <x v="1"/>
    <x v="0"/>
    <n v="2900"/>
    <n v="96000"/>
    <n v="3840"/>
    <n v="192"/>
    <x v="1"/>
    <n v="28800"/>
    <n v="0.04"/>
    <n v="0.76"/>
    <n v="8.93"/>
  </r>
  <r>
    <x v="39"/>
    <x v="1"/>
    <x v="18"/>
    <x v="0"/>
    <x v="5"/>
    <x v="3"/>
    <x v="0"/>
    <n v="4300"/>
    <n v="62000"/>
    <n v="1860"/>
    <n v="93"/>
    <x v="1"/>
    <n v="23250"/>
    <n v="0.03"/>
    <n v="2.31"/>
    <n v="4.41"/>
  </r>
  <r>
    <x v="40"/>
    <x v="3"/>
    <x v="18"/>
    <x v="0"/>
    <x v="2"/>
    <x v="2"/>
    <x v="0"/>
    <n v="1050"/>
    <n v="42000"/>
    <n v="2100"/>
    <n v="105"/>
    <x v="1"/>
    <n v="15750"/>
    <n v="0.05"/>
    <n v="0.5"/>
    <n v="14"/>
  </r>
  <r>
    <x v="41"/>
    <x v="3"/>
    <x v="12"/>
    <x v="0"/>
    <x v="6"/>
    <x v="0"/>
    <x v="0"/>
    <n v="2200"/>
    <n v="72000"/>
    <n v="3600"/>
    <n v="180"/>
    <x v="1"/>
    <n v="27000"/>
    <n v="0.05"/>
    <n v="0.61"/>
    <n v="11.27"/>
  </r>
  <r>
    <x v="42"/>
    <x v="0"/>
    <x v="0"/>
    <x v="0"/>
    <x v="6"/>
    <x v="2"/>
    <x v="0"/>
    <n v="3600"/>
    <n v="112000"/>
    <n v="4480"/>
    <n v="224"/>
    <x v="1"/>
    <n v="33600"/>
    <n v="0.04"/>
    <n v="0.8"/>
    <n v="8.33"/>
  </r>
  <r>
    <x v="43"/>
    <x v="3"/>
    <x v="15"/>
    <x v="2"/>
    <x v="1"/>
    <x v="1"/>
    <x v="0"/>
    <n v="3100"/>
    <n v="89000"/>
    <n v="3560"/>
    <n v="178"/>
    <x v="1"/>
    <n v="26700"/>
    <n v="0.04"/>
    <n v="0.87"/>
    <n v="7.61"/>
  </r>
  <r>
    <x v="44"/>
    <x v="0"/>
    <x v="10"/>
    <x v="1"/>
    <x v="8"/>
    <x v="3"/>
    <x v="0"/>
    <n v="5200"/>
    <n v="56000"/>
    <n v="1680"/>
    <n v="84"/>
    <x v="1"/>
    <n v="21000"/>
    <n v="0.03"/>
    <n v="3.1"/>
    <n v="3.04"/>
  </r>
  <r>
    <x v="45"/>
    <x v="3"/>
    <x v="14"/>
    <x v="0"/>
    <x v="0"/>
    <x v="0"/>
    <x v="0"/>
    <n v="1850"/>
    <n v="62000"/>
    <n v="3100"/>
    <n v="155"/>
    <x v="1"/>
    <n v="23250"/>
    <n v="0.05"/>
    <n v="0.6"/>
    <n v="11.57"/>
  </r>
  <r>
    <x v="46"/>
    <x v="1"/>
    <x v="10"/>
    <x v="1"/>
    <x v="6"/>
    <x v="2"/>
    <x v="0"/>
    <n v="2450"/>
    <n v="82000"/>
    <n v="3280"/>
    <n v="164"/>
    <x v="1"/>
    <n v="24600"/>
    <n v="0.04"/>
    <n v="0.75"/>
    <n v="9.0399999999999991"/>
  </r>
  <r>
    <x v="47"/>
    <x v="3"/>
    <x v="15"/>
    <x v="2"/>
    <x v="0"/>
    <x v="1"/>
    <x v="0"/>
    <n v="4100"/>
    <n v="108000"/>
    <n v="4320"/>
    <n v="216"/>
    <x v="1"/>
    <n v="32400"/>
    <n v="0.04"/>
    <n v="0.95"/>
    <n v="6.9"/>
  </r>
  <r>
    <x v="48"/>
    <x v="0"/>
    <x v="3"/>
    <x v="1"/>
    <x v="6"/>
    <x v="3"/>
    <x v="2"/>
    <n v="4700"/>
    <n v="52000"/>
    <n v="1560"/>
    <n v="78"/>
    <x v="1"/>
    <n v="19500"/>
    <n v="0.03"/>
    <n v="3.01"/>
    <n v="3.15"/>
  </r>
  <r>
    <x v="17"/>
    <x v="1"/>
    <x v="12"/>
    <x v="0"/>
    <x v="1"/>
    <x v="0"/>
    <x v="2"/>
    <n v="2300"/>
    <n v="74000"/>
    <n v="3700"/>
    <n v="185"/>
    <x v="1"/>
    <n v="27750"/>
    <n v="0.05"/>
    <n v="0.62"/>
    <n v="11.07"/>
  </r>
  <r>
    <x v="18"/>
    <x v="3"/>
    <x v="7"/>
    <x v="2"/>
    <x v="1"/>
    <x v="1"/>
    <x v="2"/>
    <n v="3200"/>
    <n v="94000"/>
    <n v="3760"/>
    <n v="188"/>
    <x v="1"/>
    <n v="28200"/>
    <n v="0.04"/>
    <n v="0.85"/>
    <n v="7.81"/>
  </r>
  <r>
    <x v="19"/>
    <x v="1"/>
    <x v="11"/>
    <x v="2"/>
    <x v="4"/>
    <x v="2"/>
    <x v="2"/>
    <n v="2800"/>
    <n v="92000"/>
    <n v="3680"/>
    <n v="184"/>
    <x v="1"/>
    <n v="27600"/>
    <n v="0.04"/>
    <n v="0.76"/>
    <n v="8.86"/>
  </r>
  <r>
    <x v="20"/>
    <x v="0"/>
    <x v="1"/>
    <x v="1"/>
    <x v="2"/>
    <x v="0"/>
    <x v="2"/>
    <n v="1950"/>
    <n v="68000"/>
    <n v="3400"/>
    <n v="170"/>
    <x v="1"/>
    <n v="25500"/>
    <n v="0.05"/>
    <n v="0.56999999999999995"/>
    <n v="12.08"/>
  </r>
  <r>
    <x v="21"/>
    <x v="1"/>
    <x v="4"/>
    <x v="0"/>
    <x v="6"/>
    <x v="3"/>
    <x v="2"/>
    <n v="6200"/>
    <n v="64000"/>
    <n v="1920"/>
    <n v="96"/>
    <x v="1"/>
    <n v="24000"/>
    <n v="0.03"/>
    <n v="3.23"/>
    <n v="2.87"/>
  </r>
  <r>
    <x v="22"/>
    <x v="2"/>
    <x v="16"/>
    <x v="0"/>
    <x v="7"/>
    <x v="2"/>
    <x v="2"/>
    <n v="2200"/>
    <n v="77000"/>
    <n v="3080"/>
    <n v="154"/>
    <x v="1"/>
    <n v="23100"/>
    <n v="0.04"/>
    <n v="0.71"/>
    <n v="9.5"/>
  </r>
  <r>
    <x v="23"/>
    <x v="3"/>
    <x v="14"/>
    <x v="0"/>
    <x v="6"/>
    <x v="1"/>
    <x v="2"/>
    <n v="3400"/>
    <n v="100000"/>
    <n v="4000"/>
    <n v="200"/>
    <x v="1"/>
    <n v="30000"/>
    <n v="0.04"/>
    <n v="0.85"/>
    <n v="7.82"/>
  </r>
  <r>
    <x v="24"/>
    <x v="3"/>
    <x v="15"/>
    <x v="2"/>
    <x v="1"/>
    <x v="0"/>
    <x v="2"/>
    <n v="1500"/>
    <n v="57000"/>
    <n v="2850"/>
    <n v="142"/>
    <x v="1"/>
    <n v="21375"/>
    <n v="0.05"/>
    <n v="0.53"/>
    <n v="13.25"/>
  </r>
  <r>
    <x v="25"/>
    <x v="3"/>
    <x v="2"/>
    <x v="0"/>
    <x v="6"/>
    <x v="3"/>
    <x v="2"/>
    <n v="5000"/>
    <n v="54000"/>
    <n v="1620"/>
    <n v="81"/>
    <x v="1"/>
    <n v="20250"/>
    <n v="0.03"/>
    <n v="3.09"/>
    <n v="3.05"/>
  </r>
  <r>
    <x v="26"/>
    <x v="3"/>
    <x v="6"/>
    <x v="0"/>
    <x v="3"/>
    <x v="0"/>
    <x v="2"/>
    <n v="2050"/>
    <n v="70000"/>
    <n v="3500"/>
    <n v="175"/>
    <x v="1"/>
    <n v="26250"/>
    <n v="0.05"/>
    <n v="0.59"/>
    <n v="11.8"/>
  </r>
  <r>
    <x v="27"/>
    <x v="0"/>
    <x v="6"/>
    <x v="0"/>
    <x v="0"/>
    <x v="2"/>
    <x v="2"/>
    <n v="3700"/>
    <n v="118000"/>
    <n v="4720"/>
    <n v="236"/>
    <x v="1"/>
    <n v="35400"/>
    <n v="0.04"/>
    <n v="0.78"/>
    <n v="8.57"/>
  </r>
  <r>
    <x v="28"/>
    <x v="3"/>
    <x v="8"/>
    <x v="1"/>
    <x v="4"/>
    <x v="1"/>
    <x v="2"/>
    <n v="3050"/>
    <n v="89000"/>
    <n v="3560"/>
    <n v="178"/>
    <x v="1"/>
    <n v="26700"/>
    <n v="0.04"/>
    <n v="0.86"/>
    <n v="7.75"/>
  </r>
  <r>
    <x v="29"/>
    <x v="0"/>
    <x v="15"/>
    <x v="2"/>
    <x v="3"/>
    <x v="3"/>
    <x v="1"/>
    <n v="5400"/>
    <n v="56000"/>
    <n v="1680"/>
    <n v="84"/>
    <x v="1"/>
    <n v="21000"/>
    <n v="0.03"/>
    <n v="3.21"/>
    <n v="2.89"/>
  </r>
  <r>
    <x v="30"/>
    <x v="0"/>
    <x v="5"/>
    <x v="2"/>
    <x v="6"/>
    <x v="0"/>
    <x v="1"/>
    <n v="2400"/>
    <n v="76000"/>
    <n v="3800"/>
    <n v="190"/>
    <x v="1"/>
    <n v="28500"/>
    <n v="0.05"/>
    <n v="0.63"/>
    <n v="10.88"/>
  </r>
  <r>
    <x v="31"/>
    <x v="3"/>
    <x v="3"/>
    <x v="1"/>
    <x v="0"/>
    <x v="2"/>
    <x v="1"/>
    <n v="2700"/>
    <n v="87000"/>
    <n v="3480"/>
    <n v="174"/>
    <x v="1"/>
    <n v="26100"/>
    <n v="0.04"/>
    <n v="0.78"/>
    <n v="8.67"/>
  </r>
  <r>
    <x v="32"/>
    <x v="0"/>
    <x v="4"/>
    <x v="0"/>
    <x v="4"/>
    <x v="0"/>
    <x v="1"/>
    <n v="1700"/>
    <n v="64000"/>
    <n v="3200"/>
    <n v="160"/>
    <x v="1"/>
    <n v="24000"/>
    <n v="0.05"/>
    <n v="0.53"/>
    <n v="13.12"/>
  </r>
  <r>
    <x v="33"/>
    <x v="3"/>
    <x v="17"/>
    <x v="2"/>
    <x v="2"/>
    <x v="1"/>
    <x v="1"/>
    <n v="3900"/>
    <n v="106000"/>
    <n v="4240"/>
    <n v="212"/>
    <x v="1"/>
    <n v="31800"/>
    <n v="0.04"/>
    <n v="0.92"/>
    <n v="7.15"/>
  </r>
  <r>
    <x v="34"/>
    <x v="3"/>
    <x v="1"/>
    <x v="1"/>
    <x v="3"/>
    <x v="3"/>
    <x v="1"/>
    <n v="5800"/>
    <n v="60000"/>
    <n v="1800"/>
    <n v="90"/>
    <x v="1"/>
    <n v="22500"/>
    <n v="0.03"/>
    <n v="3.22"/>
    <n v="2.88"/>
  </r>
  <r>
    <x v="35"/>
    <x v="0"/>
    <x v="18"/>
    <x v="0"/>
    <x v="2"/>
    <x v="2"/>
    <x v="1"/>
    <n v="3300"/>
    <n v="102000"/>
    <n v="4080"/>
    <n v="204"/>
    <x v="1"/>
    <n v="30600"/>
    <n v="0.04"/>
    <n v="0.81"/>
    <n v="8.27"/>
  </r>
  <r>
    <x v="36"/>
    <x v="3"/>
    <x v="5"/>
    <x v="2"/>
    <x v="6"/>
    <x v="1"/>
    <x v="1"/>
    <n v="2900"/>
    <n v="86000"/>
    <n v="3440"/>
    <n v="172"/>
    <x v="1"/>
    <n v="25800"/>
    <n v="0.04"/>
    <n v="0.84"/>
    <n v="7.9"/>
  </r>
  <r>
    <x v="37"/>
    <x v="3"/>
    <x v="15"/>
    <x v="2"/>
    <x v="6"/>
    <x v="0"/>
    <x v="1"/>
    <n v="2000"/>
    <n v="69000"/>
    <n v="3450"/>
    <n v="172"/>
    <x v="1"/>
    <n v="25875"/>
    <n v="0.05"/>
    <n v="0.57999999999999996"/>
    <n v="11.94"/>
  </r>
  <r>
    <x v="38"/>
    <x v="1"/>
    <x v="19"/>
    <x v="2"/>
    <x v="1"/>
    <x v="3"/>
    <x v="1"/>
    <n v="5100"/>
    <n v="55000"/>
    <n v="1650"/>
    <n v="82"/>
    <x v="1"/>
    <n v="20625"/>
    <n v="0.03"/>
    <n v="3.09"/>
    <n v="3.04"/>
  </r>
  <r>
    <x v="39"/>
    <x v="1"/>
    <x v="3"/>
    <x v="1"/>
    <x v="6"/>
    <x v="0"/>
    <x v="1"/>
    <n v="2550"/>
    <n v="78000"/>
    <n v="3900"/>
    <n v="195"/>
    <x v="1"/>
    <n v="29250"/>
    <n v="0.05"/>
    <n v="0.65"/>
    <n v="10.47"/>
  </r>
  <r>
    <x v="40"/>
    <x v="3"/>
    <x v="5"/>
    <x v="2"/>
    <x v="1"/>
    <x v="2"/>
    <x v="1"/>
    <n v="2250"/>
    <n v="80000"/>
    <n v="3200"/>
    <n v="160"/>
    <x v="1"/>
    <n v="24000"/>
    <n v="0.04"/>
    <n v="0.7"/>
    <n v="9.67"/>
  </r>
  <r>
    <x v="41"/>
    <x v="3"/>
    <x v="12"/>
    <x v="0"/>
    <x v="4"/>
    <x v="1"/>
    <x v="3"/>
    <n v="3600"/>
    <n v="102000"/>
    <n v="4080"/>
    <n v="204"/>
    <x v="1"/>
    <n v="30600"/>
    <n v="0.04"/>
    <n v="0.88"/>
    <n v="7.5"/>
  </r>
  <r>
    <x v="42"/>
    <x v="3"/>
    <x v="17"/>
    <x v="2"/>
    <x v="4"/>
    <x v="3"/>
    <x v="3"/>
    <n v="5500"/>
    <n v="58000"/>
    <n v="1740"/>
    <n v="87"/>
    <x v="1"/>
    <n v="21750"/>
    <n v="0.03"/>
    <n v="3.16"/>
    <n v="2.95"/>
  </r>
  <r>
    <x v="43"/>
    <x v="2"/>
    <x v="5"/>
    <x v="2"/>
    <x v="7"/>
    <x v="0"/>
    <x v="3"/>
    <n v="2150"/>
    <n v="71000"/>
    <n v="3550"/>
    <n v="178"/>
    <x v="1"/>
    <n v="26625"/>
    <n v="0.05"/>
    <n v="0.61"/>
    <n v="11.38"/>
  </r>
  <r>
    <x v="44"/>
    <x v="1"/>
    <x v="17"/>
    <x v="2"/>
    <x v="2"/>
    <x v="2"/>
    <x v="3"/>
    <n v="3000"/>
    <n v="95000"/>
    <n v="3800"/>
    <n v="190"/>
    <x v="1"/>
    <n v="28500"/>
    <n v="0.04"/>
    <n v="0.79"/>
    <n v="8.5"/>
  </r>
  <r>
    <x v="45"/>
    <x v="3"/>
    <x v="11"/>
    <x v="2"/>
    <x v="2"/>
    <x v="0"/>
    <x v="3"/>
    <n v="1800"/>
    <n v="66000"/>
    <n v="3300"/>
    <n v="165"/>
    <x v="1"/>
    <n v="24750"/>
    <n v="0.05"/>
    <n v="0.55000000000000004"/>
    <n v="12.75"/>
  </r>
  <r>
    <x v="46"/>
    <x v="0"/>
    <x v="12"/>
    <x v="0"/>
    <x v="2"/>
    <x v="1"/>
    <x v="3"/>
    <n v="4000"/>
    <n v="108000"/>
    <n v="4320"/>
    <n v="216"/>
    <x v="1"/>
    <n v="32400"/>
    <n v="0.04"/>
    <n v="0.93"/>
    <n v="7.1"/>
  </r>
  <r>
    <x v="47"/>
    <x v="1"/>
    <x v="5"/>
    <x v="2"/>
    <x v="2"/>
    <x v="3"/>
    <x v="3"/>
    <n v="5900"/>
    <n v="61000"/>
    <n v="1830"/>
    <n v="92"/>
    <x v="1"/>
    <n v="22875"/>
    <n v="0.03"/>
    <n v="3.22"/>
    <n v="2.88"/>
  </r>
  <r>
    <x v="48"/>
    <x v="3"/>
    <x v="4"/>
    <x v="0"/>
    <x v="6"/>
    <x v="2"/>
    <x v="3"/>
    <n v="2500"/>
    <n v="84000"/>
    <n v="3360"/>
    <n v="168"/>
    <x v="1"/>
    <n v="25200"/>
    <n v="0.04"/>
    <n v="0.74"/>
    <n v="9.08"/>
  </r>
  <r>
    <x v="82"/>
    <x v="1"/>
    <x v="6"/>
    <x v="0"/>
    <x v="4"/>
    <x v="1"/>
    <x v="3"/>
    <n v="3300"/>
    <n v="97000"/>
    <n v="3880"/>
    <n v="194"/>
    <x v="1"/>
    <n v="29100"/>
    <n v="0.04"/>
    <n v="0.85"/>
    <n v="7.82"/>
  </r>
  <r>
    <x v="83"/>
    <x v="0"/>
    <x v="19"/>
    <x v="2"/>
    <x v="2"/>
    <x v="0"/>
    <x v="3"/>
    <n v="2350"/>
    <n v="75000"/>
    <n v="3750"/>
    <n v="188"/>
    <x v="1"/>
    <n v="28125"/>
    <n v="0.05"/>
    <n v="0.63"/>
    <n v="10.97"/>
  </r>
  <r>
    <x v="84"/>
    <x v="3"/>
    <x v="2"/>
    <x v="0"/>
    <x v="10"/>
    <x v="3"/>
    <x v="3"/>
    <n v="5700"/>
    <n v="59000"/>
    <n v="1770"/>
    <n v="88"/>
    <x v="1"/>
    <n v="22125"/>
    <n v="0.03"/>
    <n v="3.22"/>
    <n v="2.88"/>
  </r>
  <r>
    <x v="85"/>
    <x v="0"/>
    <x v="12"/>
    <x v="0"/>
    <x v="6"/>
    <x v="0"/>
    <x v="3"/>
    <n v="1450"/>
    <n v="60000"/>
    <n v="3000"/>
    <n v="150"/>
    <x v="1"/>
    <n v="22500"/>
    <n v="0.05"/>
    <n v="0.48"/>
    <n v="14.52"/>
  </r>
  <r>
    <x v="86"/>
    <x v="3"/>
    <x v="17"/>
    <x v="2"/>
    <x v="11"/>
    <x v="2"/>
    <x v="3"/>
    <n v="2800"/>
    <n v="90000"/>
    <n v="3600"/>
    <n v="180"/>
    <x v="1"/>
    <n v="27000"/>
    <n v="0.04"/>
    <n v="0.78"/>
    <n v="8.64"/>
  </r>
  <r>
    <x v="87"/>
    <x v="0"/>
    <x v="4"/>
    <x v="0"/>
    <x v="7"/>
    <x v="3"/>
    <x v="3"/>
    <n v="6100"/>
    <n v="63000"/>
    <n v="1890"/>
    <n v="94"/>
    <x v="1"/>
    <n v="23625"/>
    <n v="0.03"/>
    <n v="3.23"/>
    <n v="2.87"/>
  </r>
  <r>
    <x v="88"/>
    <x v="3"/>
    <x v="0"/>
    <x v="0"/>
    <x v="10"/>
    <x v="1"/>
    <x v="0"/>
    <n v="1850"/>
    <n v="62000"/>
    <n v="3100"/>
    <n v="155"/>
    <x v="1"/>
    <n v="23250"/>
    <n v="0.05"/>
    <n v="0.6"/>
    <n v="11.57"/>
  </r>
  <r>
    <x v="89"/>
    <x v="0"/>
    <x v="9"/>
    <x v="2"/>
    <x v="10"/>
    <x v="0"/>
    <x v="0"/>
    <n v="2100"/>
    <n v="70000"/>
    <n v="3500"/>
    <n v="175"/>
    <x v="1"/>
    <n v="26250"/>
    <n v="0.05"/>
    <n v="0.6"/>
    <n v="11.5"/>
  </r>
  <r>
    <x v="90"/>
    <x v="0"/>
    <x v="6"/>
    <x v="0"/>
    <x v="6"/>
    <x v="2"/>
    <x v="0"/>
    <n v="3900"/>
    <n v="120000"/>
    <n v="4800"/>
    <n v="240"/>
    <x v="1"/>
    <n v="36000"/>
    <n v="0.04"/>
    <n v="0.81"/>
    <n v="8.23"/>
  </r>
  <r>
    <x v="91"/>
    <x v="1"/>
    <x v="14"/>
    <x v="0"/>
    <x v="4"/>
    <x v="3"/>
    <x v="0"/>
    <n v="4800"/>
    <n v="50000"/>
    <n v="1500"/>
    <n v="75"/>
    <x v="1"/>
    <n v="18750"/>
    <n v="0.03"/>
    <n v="3.2"/>
    <n v="2.91"/>
  </r>
  <r>
    <x v="92"/>
    <x v="0"/>
    <x v="7"/>
    <x v="2"/>
    <x v="6"/>
    <x v="0"/>
    <x v="0"/>
    <n v="1550"/>
    <n v="58000"/>
    <n v="2900"/>
    <n v="145"/>
    <x v="1"/>
    <n v="21750"/>
    <n v="0.05"/>
    <n v="0.53"/>
    <n v="13.03"/>
  </r>
  <r>
    <x v="93"/>
    <x v="0"/>
    <x v="0"/>
    <x v="0"/>
    <x v="6"/>
    <x v="2"/>
    <x v="0"/>
    <n v="3300"/>
    <n v="110000"/>
    <n v="4400"/>
    <n v="220"/>
    <x v="1"/>
    <n v="33000"/>
    <n v="0.04"/>
    <n v="0.75"/>
    <n v="9"/>
  </r>
  <r>
    <x v="94"/>
    <x v="0"/>
    <x v="7"/>
    <x v="2"/>
    <x v="2"/>
    <x v="1"/>
    <x v="0"/>
    <n v="2750"/>
    <n v="85000"/>
    <n v="3400"/>
    <n v="170"/>
    <x v="1"/>
    <n v="25500"/>
    <n v="0.04"/>
    <n v="0.81"/>
    <n v="8.27"/>
  </r>
  <r>
    <x v="95"/>
    <x v="3"/>
    <x v="4"/>
    <x v="0"/>
    <x v="2"/>
    <x v="0"/>
    <x v="0"/>
    <n v="2350"/>
    <n v="75000"/>
    <n v="3750"/>
    <n v="188"/>
    <x v="1"/>
    <n v="28125"/>
    <n v="0.05"/>
    <n v="0.63"/>
    <n v="10.97"/>
  </r>
  <r>
    <x v="96"/>
    <x v="0"/>
    <x v="2"/>
    <x v="0"/>
    <x v="10"/>
    <x v="3"/>
    <x v="0"/>
    <n v="5400"/>
    <n v="58000"/>
    <n v="1740"/>
    <n v="87"/>
    <x v="1"/>
    <n v="21750"/>
    <n v="0.03"/>
    <n v="3.1"/>
    <n v="3.03"/>
  </r>
  <r>
    <x v="97"/>
    <x v="3"/>
    <x v="3"/>
    <x v="1"/>
    <x v="2"/>
    <x v="1"/>
    <x v="0"/>
    <n v="3050"/>
    <n v="92000"/>
    <n v="3680"/>
    <n v="184"/>
    <x v="1"/>
    <n v="27600"/>
    <n v="0.04"/>
    <n v="0.83"/>
    <n v="8.0500000000000007"/>
  </r>
  <r>
    <x v="98"/>
    <x v="3"/>
    <x v="17"/>
    <x v="2"/>
    <x v="3"/>
    <x v="0"/>
    <x v="1"/>
    <n v="2400"/>
    <n v="76000"/>
    <n v="3800"/>
    <n v="190"/>
    <x v="1"/>
    <n v="28500"/>
    <n v="0.05"/>
    <n v="0.63"/>
    <n v="10.88"/>
  </r>
  <r>
    <x v="99"/>
    <x v="0"/>
    <x v="14"/>
    <x v="0"/>
    <x v="2"/>
    <x v="1"/>
    <x v="1"/>
    <n v="2950"/>
    <n v="89000"/>
    <n v="3560"/>
    <n v="178"/>
    <x v="1"/>
    <n v="26700"/>
    <n v="0.04"/>
    <n v="0.83"/>
    <n v="8.0500000000000007"/>
  </r>
  <r>
    <x v="100"/>
    <x v="1"/>
    <x v="15"/>
    <x v="2"/>
    <x v="6"/>
    <x v="0"/>
    <x v="1"/>
    <n v="1850"/>
    <n v="66000"/>
    <n v="3300"/>
    <n v="165"/>
    <x v="1"/>
    <n v="24750"/>
    <n v="0.05"/>
    <n v="0.56000000000000005"/>
    <n v="12.38"/>
  </r>
  <r>
    <x v="101"/>
    <x v="3"/>
    <x v="12"/>
    <x v="0"/>
    <x v="2"/>
    <x v="2"/>
    <x v="1"/>
    <n v="3500"/>
    <n v="112000"/>
    <n v="4480"/>
    <n v="224"/>
    <x v="1"/>
    <n v="33600"/>
    <n v="0.04"/>
    <n v="0.78"/>
    <n v="8.6"/>
  </r>
  <r>
    <x v="102"/>
    <x v="3"/>
    <x v="19"/>
    <x v="2"/>
    <x v="0"/>
    <x v="3"/>
    <x v="1"/>
    <n v="5700"/>
    <n v="59000"/>
    <n v="1770"/>
    <n v="88"/>
    <x v="1"/>
    <n v="22125"/>
    <n v="0.03"/>
    <n v="3.22"/>
    <n v="2.88"/>
  </r>
  <r>
    <x v="103"/>
    <x v="1"/>
    <x v="7"/>
    <x v="2"/>
    <x v="0"/>
    <x v="0"/>
    <x v="1"/>
    <n v="2550"/>
    <n v="78000"/>
    <n v="3900"/>
    <n v="195"/>
    <x v="1"/>
    <n v="29250"/>
    <n v="0.05"/>
    <n v="0.65"/>
    <n v="10.47"/>
  </r>
  <r>
    <x v="104"/>
    <x v="0"/>
    <x v="14"/>
    <x v="0"/>
    <x v="2"/>
    <x v="1"/>
    <x v="3"/>
    <n v="3500"/>
    <n v="105000"/>
    <n v="4200"/>
    <n v="210"/>
    <x v="1"/>
    <n v="31500"/>
    <n v="0.04"/>
    <n v="0.83"/>
    <n v="8"/>
  </r>
  <r>
    <x v="105"/>
    <x v="3"/>
    <x v="2"/>
    <x v="0"/>
    <x v="6"/>
    <x v="3"/>
    <x v="3"/>
    <n v="5500"/>
    <n v="58000"/>
    <n v="1740"/>
    <n v="87"/>
    <x v="1"/>
    <n v="21750"/>
    <n v="0.03"/>
    <n v="3.16"/>
    <n v="2.95"/>
  </r>
  <r>
    <x v="106"/>
    <x v="0"/>
    <x v="13"/>
    <x v="1"/>
    <x v="7"/>
    <x v="0"/>
    <x v="3"/>
    <n v="2350"/>
    <n v="75000"/>
    <n v="3750"/>
    <n v="188"/>
    <x v="1"/>
    <n v="28125"/>
    <n v="0.05"/>
    <n v="0.63"/>
    <n v="10.97"/>
  </r>
  <r>
    <x v="107"/>
    <x v="3"/>
    <x v="0"/>
    <x v="0"/>
    <x v="1"/>
    <x v="2"/>
    <x v="3"/>
    <n v="3850"/>
    <n v="119000"/>
    <n v="4760"/>
    <n v="238"/>
    <x v="1"/>
    <n v="35700"/>
    <n v="0.04"/>
    <n v="0.81"/>
    <n v="8.27"/>
  </r>
  <r>
    <x v="108"/>
    <x v="3"/>
    <x v="11"/>
    <x v="2"/>
    <x v="4"/>
    <x v="0"/>
    <x v="3"/>
    <n v="1950"/>
    <n v="68000"/>
    <n v="3400"/>
    <n v="170"/>
    <x v="1"/>
    <n v="25500"/>
    <n v="0.05"/>
    <n v="0.56999999999999995"/>
    <n v="12.08"/>
  </r>
  <r>
    <x v="109"/>
    <x v="0"/>
    <x v="16"/>
    <x v="0"/>
    <x v="1"/>
    <x v="3"/>
    <x v="3"/>
    <n v="5000"/>
    <n v="54000"/>
    <n v="1620"/>
    <n v="81"/>
    <x v="1"/>
    <n v="20250"/>
    <n v="0.03"/>
    <n v="3.09"/>
    <n v="3.05"/>
  </r>
  <r>
    <x v="110"/>
    <x v="1"/>
    <x v="3"/>
    <x v="1"/>
    <x v="2"/>
    <x v="1"/>
    <x v="3"/>
    <n v="3200"/>
    <n v="97000"/>
    <n v="3880"/>
    <n v="194"/>
    <x v="1"/>
    <n v="29100"/>
    <n v="0.04"/>
    <n v="0.83"/>
    <n v="8.09"/>
  </r>
  <r>
    <x v="111"/>
    <x v="1"/>
    <x v="4"/>
    <x v="0"/>
    <x v="5"/>
    <x v="2"/>
    <x v="3"/>
    <n v="2800"/>
    <n v="91000"/>
    <n v="3640"/>
    <n v="182"/>
    <x v="1"/>
    <n v="27300"/>
    <n v="0.04"/>
    <n v="0.77"/>
    <n v="8.75"/>
  </r>
  <r>
    <x v="35"/>
    <x v="0"/>
    <x v="7"/>
    <x v="2"/>
    <x v="1"/>
    <x v="0"/>
    <x v="0"/>
    <n v="1600"/>
    <n v="60000"/>
    <n v="3000"/>
    <n v="150"/>
    <x v="1"/>
    <n v="22500"/>
    <n v="0.05"/>
    <n v="0.53"/>
    <n v="13.06"/>
  </r>
  <r>
    <x v="36"/>
    <x v="3"/>
    <x v="15"/>
    <x v="2"/>
    <x v="10"/>
    <x v="1"/>
    <x v="0"/>
    <n v="2950"/>
    <n v="89000"/>
    <n v="3560"/>
    <n v="178"/>
    <x v="1"/>
    <n v="26700"/>
    <n v="0.04"/>
    <n v="0.83"/>
    <n v="8.0500000000000007"/>
  </r>
  <r>
    <x v="37"/>
    <x v="3"/>
    <x v="14"/>
    <x v="0"/>
    <x v="2"/>
    <x v="3"/>
    <x v="0"/>
    <n v="4600"/>
    <n v="52000"/>
    <n v="1560"/>
    <n v="78"/>
    <x v="1"/>
    <n v="19500"/>
    <n v="0.03"/>
    <n v="2.95"/>
    <n v="3.24"/>
  </r>
  <r>
    <x v="38"/>
    <x v="3"/>
    <x v="12"/>
    <x v="0"/>
    <x v="9"/>
    <x v="0"/>
    <x v="0"/>
    <n v="2000"/>
    <n v="68000"/>
    <n v="3400"/>
    <n v="170"/>
    <x v="1"/>
    <n v="25500"/>
    <n v="0.05"/>
    <n v="0.59"/>
    <n v="11.75"/>
  </r>
  <r>
    <x v="39"/>
    <x v="3"/>
    <x v="16"/>
    <x v="0"/>
    <x v="6"/>
    <x v="2"/>
    <x v="0"/>
    <n v="3100"/>
    <n v="98000"/>
    <n v="3920"/>
    <n v="196"/>
    <x v="1"/>
    <n v="29400"/>
    <n v="0.04"/>
    <n v="0.79"/>
    <n v="8.48"/>
  </r>
  <r>
    <x v="40"/>
    <x v="1"/>
    <x v="7"/>
    <x v="2"/>
    <x v="6"/>
    <x v="0"/>
    <x v="0"/>
    <n v="1850"/>
    <n v="65000"/>
    <n v="3250"/>
    <n v="162"/>
    <x v="1"/>
    <n v="24375"/>
    <n v="0.05"/>
    <n v="0.56999999999999995"/>
    <n v="12.18"/>
  </r>
  <r>
    <x v="41"/>
    <x v="0"/>
    <x v="2"/>
    <x v="0"/>
    <x v="6"/>
    <x v="1"/>
    <x v="0"/>
    <n v="2850"/>
    <n v="88000"/>
    <n v="3520"/>
    <n v="176"/>
    <x v="1"/>
    <n v="26400"/>
    <n v="0.04"/>
    <n v="0.81"/>
    <n v="8.26"/>
  </r>
  <r>
    <x v="42"/>
    <x v="0"/>
    <x v="15"/>
    <x v="2"/>
    <x v="2"/>
    <x v="2"/>
    <x v="0"/>
    <n v="3600"/>
    <n v="114000"/>
    <n v="4560"/>
    <n v="228"/>
    <x v="1"/>
    <n v="34200"/>
    <n v="0.04"/>
    <n v="0.79"/>
    <n v="8.5"/>
  </r>
  <r>
    <x v="43"/>
    <x v="1"/>
    <x v="3"/>
    <x v="1"/>
    <x v="6"/>
    <x v="3"/>
    <x v="0"/>
    <n v="5500"/>
    <n v="59000"/>
    <n v="1770"/>
    <n v="88"/>
    <x v="1"/>
    <n v="22125"/>
    <n v="0.03"/>
    <n v="3.11"/>
    <n v="3.02"/>
  </r>
  <r>
    <x v="44"/>
    <x v="2"/>
    <x v="16"/>
    <x v="0"/>
    <x v="8"/>
    <x v="0"/>
    <x v="0"/>
    <n v="2250"/>
    <n v="74000"/>
    <n v="3700"/>
    <n v="185"/>
    <x v="1"/>
    <n v="27750"/>
    <n v="0.05"/>
    <n v="0.61"/>
    <n v="11.33"/>
  </r>
  <r>
    <x v="45"/>
    <x v="3"/>
    <x v="13"/>
    <x v="1"/>
    <x v="9"/>
    <x v="1"/>
    <x v="0"/>
    <n v="3300"/>
    <n v="100000"/>
    <n v="4000"/>
    <n v="200"/>
    <x v="1"/>
    <n v="30000"/>
    <n v="0.04"/>
    <n v="0.82"/>
    <n v="8.09"/>
  </r>
  <r>
    <x v="46"/>
    <x v="3"/>
    <x v="6"/>
    <x v="0"/>
    <x v="0"/>
    <x v="3"/>
    <x v="0"/>
    <n v="5000"/>
    <n v="55000"/>
    <n v="1650"/>
    <n v="82"/>
    <x v="1"/>
    <n v="20625"/>
    <n v="0.03"/>
    <n v="3.03"/>
    <n v="3.13"/>
  </r>
  <r>
    <x v="47"/>
    <x v="0"/>
    <x v="10"/>
    <x v="1"/>
    <x v="0"/>
    <x v="0"/>
    <x v="0"/>
    <n v="1750"/>
    <n v="63000"/>
    <n v="3150"/>
    <n v="158"/>
    <x v="1"/>
    <n v="23625"/>
    <n v="0.05"/>
    <n v="0.56000000000000005"/>
    <n v="12.5"/>
  </r>
  <r>
    <x v="48"/>
    <x v="0"/>
    <x v="1"/>
    <x v="1"/>
    <x v="9"/>
    <x v="2"/>
    <x v="2"/>
    <n v="3450"/>
    <n v="108000"/>
    <n v="4320"/>
    <n v="216"/>
    <x v="1"/>
    <n v="32400"/>
    <n v="0.04"/>
    <n v="0.8"/>
    <n v="8.39"/>
  </r>
  <r>
    <x v="112"/>
    <x v="3"/>
    <x v="18"/>
    <x v="0"/>
    <x v="9"/>
    <x v="0"/>
    <x v="2"/>
    <n v="2100"/>
    <n v="71000"/>
    <n v="3550"/>
    <n v="178"/>
    <x v="1"/>
    <n v="26625"/>
    <n v="0.05"/>
    <n v="0.59"/>
    <n v="11.68"/>
  </r>
  <r>
    <x v="113"/>
    <x v="0"/>
    <x v="7"/>
    <x v="2"/>
    <x v="0"/>
    <x v="1"/>
    <x v="2"/>
    <n v="3150"/>
    <n v="95000"/>
    <n v="3800"/>
    <n v="190"/>
    <x v="1"/>
    <n v="28500"/>
    <n v="0.04"/>
    <n v="0.83"/>
    <n v="8.0500000000000007"/>
  </r>
  <r>
    <x v="114"/>
    <x v="0"/>
    <x v="3"/>
    <x v="1"/>
    <x v="6"/>
    <x v="3"/>
    <x v="2"/>
    <n v="5400"/>
    <n v="58000"/>
    <n v="1740"/>
    <n v="87"/>
    <x v="1"/>
    <n v="21750"/>
    <n v="0.03"/>
    <n v="3.1"/>
    <n v="3.03"/>
  </r>
  <r>
    <x v="115"/>
    <x v="3"/>
    <x v="0"/>
    <x v="0"/>
    <x v="10"/>
    <x v="0"/>
    <x v="2"/>
    <n v="1900"/>
    <n v="66000"/>
    <n v="3300"/>
    <n v="165"/>
    <x v="1"/>
    <n v="24750"/>
    <n v="0.05"/>
    <n v="0.57999999999999996"/>
    <n v="12.03"/>
  </r>
  <r>
    <x v="116"/>
    <x v="0"/>
    <x v="3"/>
    <x v="1"/>
    <x v="10"/>
    <x v="2"/>
    <x v="2"/>
    <n v="3800"/>
    <n v="118000"/>
    <n v="4720"/>
    <n v="236"/>
    <x v="1"/>
    <n v="35400"/>
    <n v="0.04"/>
    <n v="0.81"/>
    <n v="8.32"/>
  </r>
  <r>
    <x v="117"/>
    <x v="2"/>
    <x v="13"/>
    <x v="1"/>
    <x v="7"/>
    <x v="0"/>
    <x v="2"/>
    <n v="2300"/>
    <n v="74000"/>
    <n v="3700"/>
    <n v="185"/>
    <x v="1"/>
    <n v="27750"/>
    <n v="0.05"/>
    <n v="0.62"/>
    <n v="11.07"/>
  </r>
  <r>
    <x v="118"/>
    <x v="2"/>
    <x v="14"/>
    <x v="0"/>
    <x v="2"/>
    <x v="1"/>
    <x v="2"/>
    <n v="3000"/>
    <n v="91000"/>
    <n v="3640"/>
    <n v="182"/>
    <x v="1"/>
    <n v="27300"/>
    <n v="0.04"/>
    <n v="0.82"/>
    <n v="8.1"/>
  </r>
  <r>
    <x v="119"/>
    <x v="1"/>
    <x v="15"/>
    <x v="2"/>
    <x v="6"/>
    <x v="3"/>
    <x v="2"/>
    <n v="5200"/>
    <n v="56000"/>
    <n v="1680"/>
    <n v="84"/>
    <x v="1"/>
    <n v="21000"/>
    <n v="0.03"/>
    <n v="3.1"/>
    <n v="3.04"/>
  </r>
  <r>
    <x v="120"/>
    <x v="2"/>
    <x v="14"/>
    <x v="0"/>
    <x v="0"/>
    <x v="2"/>
    <x v="2"/>
    <n v="2800"/>
    <n v="90000"/>
    <n v="3600"/>
    <n v="180"/>
    <x v="1"/>
    <n v="27000"/>
    <n v="0.04"/>
    <n v="0.78"/>
    <n v="8.64"/>
  </r>
  <r>
    <x v="121"/>
    <x v="2"/>
    <x v="4"/>
    <x v="0"/>
    <x v="6"/>
    <x v="0"/>
    <x v="2"/>
    <n v="2450"/>
    <n v="77000"/>
    <n v="3850"/>
    <n v="192"/>
    <x v="1"/>
    <n v="28875"/>
    <n v="0.05"/>
    <n v="0.64"/>
    <n v="10.79"/>
  </r>
  <r>
    <x v="122"/>
    <x v="0"/>
    <x v="8"/>
    <x v="1"/>
    <x v="0"/>
    <x v="1"/>
    <x v="2"/>
    <n v="3400"/>
    <n v="101000"/>
    <n v="4040"/>
    <n v="202"/>
    <x v="1"/>
    <n v="30300"/>
    <n v="0.04"/>
    <n v="0.84"/>
    <n v="7.91"/>
  </r>
  <r>
    <x v="123"/>
    <x v="2"/>
    <x v="9"/>
    <x v="2"/>
    <x v="7"/>
    <x v="2"/>
    <x v="2"/>
    <n v="2700"/>
    <n v="87000"/>
    <n v="3480"/>
    <n v="174"/>
    <x v="1"/>
    <n v="26100"/>
    <n v="0.04"/>
    <n v="0.78"/>
    <n v="8.67"/>
  </r>
  <r>
    <x v="124"/>
    <x v="3"/>
    <x v="13"/>
    <x v="1"/>
    <x v="2"/>
    <x v="3"/>
    <x v="1"/>
    <n v="5800"/>
    <n v="61000"/>
    <n v="1830"/>
    <n v="92"/>
    <x v="1"/>
    <n v="22875"/>
    <n v="0.03"/>
    <n v="3.17"/>
    <n v="2.94"/>
  </r>
  <r>
    <x v="125"/>
    <x v="3"/>
    <x v="0"/>
    <x v="0"/>
    <x v="7"/>
    <x v="1"/>
    <x v="1"/>
    <n v="3050"/>
    <n v="93000"/>
    <n v="3720"/>
    <n v="186"/>
    <x v="1"/>
    <n v="27900"/>
    <n v="0.04"/>
    <n v="0.82"/>
    <n v="8.15"/>
  </r>
  <r>
    <x v="126"/>
    <x v="1"/>
    <x v="4"/>
    <x v="0"/>
    <x v="6"/>
    <x v="0"/>
    <x v="1"/>
    <n v="1950"/>
    <n v="69000"/>
    <n v="3450"/>
    <n v="172"/>
    <x v="1"/>
    <n v="25875"/>
    <n v="0.05"/>
    <n v="0.56999999999999995"/>
    <n v="12.27"/>
  </r>
  <r>
    <x v="127"/>
    <x v="0"/>
    <x v="7"/>
    <x v="2"/>
    <x v="7"/>
    <x v="2"/>
    <x v="1"/>
    <n v="3600"/>
    <n v="113000"/>
    <n v="4520"/>
    <n v="226"/>
    <x v="1"/>
    <n v="33900"/>
    <n v="0.04"/>
    <n v="0.8"/>
    <n v="8.42"/>
  </r>
  <r>
    <x v="128"/>
    <x v="2"/>
    <x v="15"/>
    <x v="2"/>
    <x v="1"/>
    <x v="0"/>
    <x v="1"/>
    <n v="2200"/>
    <n v="73000"/>
    <n v="3650"/>
    <n v="182"/>
    <x v="1"/>
    <n v="27375"/>
    <n v="0.05"/>
    <n v="0.6"/>
    <n v="11.44"/>
  </r>
  <r>
    <x v="129"/>
    <x v="3"/>
    <x v="6"/>
    <x v="0"/>
    <x v="7"/>
    <x v="3"/>
    <x v="1"/>
    <n v="5600"/>
    <n v="59000"/>
    <n v="1770"/>
    <n v="88"/>
    <x v="1"/>
    <n v="22125"/>
    <n v="0.03"/>
    <n v="3.16"/>
    <n v="2.95"/>
  </r>
  <r>
    <x v="130"/>
    <x v="1"/>
    <x v="12"/>
    <x v="0"/>
    <x v="4"/>
    <x v="0"/>
    <x v="1"/>
    <n v="2050"/>
    <n v="70000"/>
    <n v="3500"/>
    <n v="175"/>
    <x v="1"/>
    <n v="26250"/>
    <n v="0.05"/>
    <n v="0.59"/>
    <n v="11.8"/>
  </r>
  <r>
    <x v="131"/>
    <x v="3"/>
    <x v="18"/>
    <x v="0"/>
    <x v="2"/>
    <x v="1"/>
    <x v="1"/>
    <n v="3250"/>
    <n v="98000"/>
    <n v="3920"/>
    <n v="196"/>
    <x v="1"/>
    <n v="29400"/>
    <n v="0.04"/>
    <n v="0.83"/>
    <n v="8.0500000000000007"/>
  </r>
  <r>
    <x v="132"/>
    <x v="1"/>
    <x v="15"/>
    <x v="2"/>
    <x v="8"/>
    <x v="2"/>
    <x v="1"/>
    <n v="3950"/>
    <n v="121000"/>
    <n v="4840"/>
    <n v="242"/>
    <x v="1"/>
    <n v="36300"/>
    <n v="0.04"/>
    <n v="0.82"/>
    <n v="8.19"/>
  </r>
  <r>
    <x v="133"/>
    <x v="3"/>
    <x v="5"/>
    <x v="2"/>
    <x v="2"/>
    <x v="0"/>
    <x v="1"/>
    <n v="2400"/>
    <n v="76000"/>
    <n v="3800"/>
    <n v="190"/>
    <x v="1"/>
    <n v="28500"/>
    <n v="0.05"/>
    <n v="0.63"/>
    <n v="10.88"/>
  </r>
  <r>
    <x v="134"/>
    <x v="0"/>
    <x v="14"/>
    <x v="0"/>
    <x v="6"/>
    <x v="3"/>
    <x v="1"/>
    <n v="5300"/>
    <n v="57000"/>
    <n v="1710"/>
    <n v="86"/>
    <x v="1"/>
    <n v="21375"/>
    <n v="0.03"/>
    <n v="3.1"/>
    <n v="3.03"/>
  </r>
  <r>
    <x v="135"/>
    <x v="0"/>
    <x v="7"/>
    <x v="2"/>
    <x v="2"/>
    <x v="0"/>
    <x v="1"/>
    <n v="2150"/>
    <n v="72000"/>
    <n v="3600"/>
    <n v="180"/>
    <x v="1"/>
    <n v="27000"/>
    <n v="0.05"/>
    <n v="0.6"/>
    <n v="11.56"/>
  </r>
  <r>
    <x v="136"/>
    <x v="3"/>
    <x v="16"/>
    <x v="0"/>
    <x v="6"/>
    <x v="1"/>
    <x v="3"/>
    <n v="3100"/>
    <n v="95000"/>
    <n v="3800"/>
    <n v="190"/>
    <x v="1"/>
    <n v="28500"/>
    <n v="0.04"/>
    <n v="0.82"/>
    <n v="8.19"/>
  </r>
  <r>
    <x v="137"/>
    <x v="0"/>
    <x v="6"/>
    <x v="0"/>
    <x v="6"/>
    <x v="2"/>
    <x v="3"/>
    <n v="4000"/>
    <n v="125000"/>
    <n v="5000"/>
    <n v="250"/>
    <x v="1"/>
    <n v="37500"/>
    <n v="0.04"/>
    <n v="0.8"/>
    <n v="8.3800000000000008"/>
  </r>
  <r>
    <x v="138"/>
    <x v="1"/>
    <x v="0"/>
    <x v="0"/>
    <x v="7"/>
    <x v="3"/>
    <x v="3"/>
    <n v="5700"/>
    <n v="60000"/>
    <n v="1800"/>
    <n v="90"/>
    <x v="1"/>
    <n v="22500"/>
    <n v="0.03"/>
    <n v="3.17"/>
    <n v="2.95"/>
  </r>
  <r>
    <x v="139"/>
    <x v="1"/>
    <x v="19"/>
    <x v="2"/>
    <x v="10"/>
    <x v="0"/>
    <x v="3"/>
    <n v="2300"/>
    <n v="75000"/>
    <n v="3750"/>
    <n v="188"/>
    <x v="1"/>
    <n v="28125"/>
    <n v="0.05"/>
    <n v="0.61"/>
    <n v="11.23"/>
  </r>
  <r>
    <x v="140"/>
    <x v="0"/>
    <x v="3"/>
    <x v="1"/>
    <x v="2"/>
    <x v="1"/>
    <x v="3"/>
    <n v="3500"/>
    <n v="104000"/>
    <n v="4160"/>
    <n v="208"/>
    <x v="1"/>
    <n v="31200"/>
    <n v="0.04"/>
    <n v="0.84"/>
    <n v="7.91"/>
  </r>
  <r>
    <x v="141"/>
    <x v="2"/>
    <x v="7"/>
    <x v="2"/>
    <x v="1"/>
    <x v="2"/>
    <x v="3"/>
    <n v="2900"/>
    <n v="94000"/>
    <n v="3760"/>
    <n v="188"/>
    <x v="1"/>
    <n v="28200"/>
    <n v="0.04"/>
    <n v="0.77"/>
    <n v="8.7200000000000006"/>
  </r>
  <r>
    <x v="142"/>
    <x v="1"/>
    <x v="3"/>
    <x v="1"/>
    <x v="10"/>
    <x v="0"/>
    <x v="3"/>
    <n v="2050"/>
    <n v="71000"/>
    <n v="3550"/>
    <n v="178"/>
    <x v="1"/>
    <n v="26625"/>
    <n v="0.05"/>
    <n v="0.57999999999999996"/>
    <n v="11.99"/>
  </r>
  <r>
    <x v="143"/>
    <x v="1"/>
    <x v="12"/>
    <x v="0"/>
    <x v="4"/>
    <x v="3"/>
    <x v="3"/>
    <n v="5400"/>
    <n v="58000"/>
    <n v="1740"/>
    <n v="87"/>
    <x v="1"/>
    <n v="21750"/>
    <n v="0.03"/>
    <n v="3.1"/>
    <n v="3.03"/>
  </r>
  <r>
    <x v="144"/>
    <x v="0"/>
    <x v="0"/>
    <x v="0"/>
    <x v="6"/>
    <x v="0"/>
    <x v="3"/>
    <n v="2500"/>
    <n v="78000"/>
    <n v="3900"/>
    <n v="195"/>
    <x v="1"/>
    <n v="29250"/>
    <n v="0.05"/>
    <n v="0.64"/>
    <n v="10.7"/>
  </r>
  <r>
    <x v="145"/>
    <x v="2"/>
    <x v="11"/>
    <x v="2"/>
    <x v="1"/>
    <x v="1"/>
    <x v="3"/>
    <n v="3650"/>
    <n v="108000"/>
    <n v="4320"/>
    <n v="216"/>
    <x v="1"/>
    <n v="32400"/>
    <n v="0.04"/>
    <n v="0.84"/>
    <n v="7.88"/>
  </r>
  <r>
    <x v="146"/>
    <x v="2"/>
    <x v="4"/>
    <x v="0"/>
    <x v="6"/>
    <x v="2"/>
    <x v="3"/>
    <n v="3200"/>
    <n v="100000"/>
    <n v="4000"/>
    <n v="200"/>
    <x v="1"/>
    <n v="30000"/>
    <n v="0.04"/>
    <n v="0.8"/>
    <n v="8.3800000000000008"/>
  </r>
  <r>
    <x v="147"/>
    <x v="0"/>
    <x v="12"/>
    <x v="0"/>
    <x v="0"/>
    <x v="0"/>
    <x v="3"/>
    <n v="2200"/>
    <n v="73000"/>
    <n v="3650"/>
    <n v="182"/>
    <x v="1"/>
    <n v="27375"/>
    <n v="0.05"/>
    <n v="0.6"/>
    <n v="11.44"/>
  </r>
  <r>
    <x v="148"/>
    <x v="1"/>
    <x v="8"/>
    <x v="1"/>
    <x v="2"/>
    <x v="3"/>
    <x v="3"/>
    <n v="5900"/>
    <n v="62000"/>
    <n v="1860"/>
    <n v="93"/>
    <x v="1"/>
    <n v="23250"/>
    <n v="0.03"/>
    <n v="3.17"/>
    <n v="2.94"/>
  </r>
  <r>
    <x v="149"/>
    <x v="3"/>
    <x v="10"/>
    <x v="1"/>
    <x v="6"/>
    <x v="1"/>
    <x v="3"/>
    <n v="3350"/>
    <n v="101000"/>
    <n v="4040"/>
    <n v="202"/>
    <x v="1"/>
    <n v="30300"/>
    <n v="0.04"/>
    <n v="0.83"/>
    <n v="8.0399999999999991"/>
  </r>
  <r>
    <x v="150"/>
    <x v="0"/>
    <x v="10"/>
    <x v="1"/>
    <x v="9"/>
    <x v="3"/>
    <x v="3"/>
    <n v="5100"/>
    <n v="55000"/>
    <n v="1650"/>
    <n v="82"/>
    <x v="1"/>
    <n v="20625"/>
    <n v="0.03"/>
    <n v="3.09"/>
    <n v="3.04"/>
  </r>
  <r>
    <x v="132"/>
    <x v="3"/>
    <x v="15"/>
    <x v="2"/>
    <x v="2"/>
    <x v="1"/>
    <x v="0"/>
    <n v="2650"/>
    <n v="82000"/>
    <n v="3280"/>
    <n v="164"/>
    <x v="1"/>
    <n v="24600"/>
    <n v="0.04"/>
    <n v="0.81"/>
    <n v="8.2799999999999994"/>
  </r>
  <r>
    <x v="133"/>
    <x v="1"/>
    <x v="6"/>
    <x v="0"/>
    <x v="1"/>
    <x v="0"/>
    <x v="0"/>
    <n v="1950"/>
    <n v="67000"/>
    <n v="3350"/>
    <n v="168"/>
    <x v="1"/>
    <n v="25125"/>
    <n v="0.05"/>
    <n v="0.57999999999999996"/>
    <n v="11.88"/>
  </r>
  <r>
    <x v="134"/>
    <x v="0"/>
    <x v="11"/>
    <x v="2"/>
    <x v="4"/>
    <x v="2"/>
    <x v="0"/>
    <n v="3550"/>
    <n v="112000"/>
    <n v="4480"/>
    <n v="224"/>
    <x v="1"/>
    <n v="33600"/>
    <n v="0.04"/>
    <n v="0.79"/>
    <n v="8.4600000000000009"/>
  </r>
  <r>
    <x v="135"/>
    <x v="0"/>
    <x v="1"/>
    <x v="1"/>
    <x v="7"/>
    <x v="3"/>
    <x v="0"/>
    <n v="4900"/>
    <n v="53000"/>
    <n v="1590"/>
    <n v="80"/>
    <x v="1"/>
    <n v="19875"/>
    <n v="0.03"/>
    <n v="3.08"/>
    <n v="3.06"/>
  </r>
  <r>
    <x v="136"/>
    <x v="0"/>
    <x v="14"/>
    <x v="0"/>
    <x v="2"/>
    <x v="0"/>
    <x v="0"/>
    <n v="1700"/>
    <n v="62000"/>
    <n v="3100"/>
    <n v="155"/>
    <x v="1"/>
    <n v="23250"/>
    <n v="0.05"/>
    <n v="0.55000000000000004"/>
    <n v="12.68"/>
  </r>
  <r>
    <x v="137"/>
    <x v="3"/>
    <x v="6"/>
    <x v="0"/>
    <x v="0"/>
    <x v="1"/>
    <x v="0"/>
    <n v="2900"/>
    <n v="88000"/>
    <n v="3520"/>
    <n v="176"/>
    <x v="1"/>
    <n v="26400"/>
    <n v="0.04"/>
    <n v="0.82"/>
    <n v="8.1"/>
  </r>
  <r>
    <x v="138"/>
    <x v="0"/>
    <x v="19"/>
    <x v="2"/>
    <x v="3"/>
    <x v="0"/>
    <x v="0"/>
    <n v="2150"/>
    <n v="72000"/>
    <n v="3600"/>
    <n v="180"/>
    <x v="1"/>
    <n v="27000"/>
    <n v="0.05"/>
    <n v="0.6"/>
    <n v="11.56"/>
  </r>
  <r>
    <x v="139"/>
    <x v="0"/>
    <x v="5"/>
    <x v="2"/>
    <x v="1"/>
    <x v="2"/>
    <x v="0"/>
    <n v="3850"/>
    <n v="119000"/>
    <n v="4760"/>
    <n v="238"/>
    <x v="1"/>
    <n v="35700"/>
    <n v="0.04"/>
    <n v="0.81"/>
    <n v="8.27"/>
  </r>
  <r>
    <x v="140"/>
    <x v="0"/>
    <x v="15"/>
    <x v="2"/>
    <x v="5"/>
    <x v="3"/>
    <x v="0"/>
    <n v="5600"/>
    <n v="59000"/>
    <n v="1770"/>
    <n v="88"/>
    <x v="1"/>
    <n v="22125"/>
    <n v="0.03"/>
    <n v="3.16"/>
    <n v="2.95"/>
  </r>
  <r>
    <x v="141"/>
    <x v="3"/>
    <x v="6"/>
    <x v="0"/>
    <x v="2"/>
    <x v="0"/>
    <x v="0"/>
    <n v="2050"/>
    <n v="70000"/>
    <n v="3500"/>
    <n v="175"/>
    <x v="1"/>
    <n v="26250"/>
    <n v="0.05"/>
    <n v="0.59"/>
    <n v="11.8"/>
  </r>
  <r>
    <x v="142"/>
    <x v="1"/>
    <x v="3"/>
    <x v="1"/>
    <x v="6"/>
    <x v="1"/>
    <x v="0"/>
    <n v="3200"/>
    <n v="97000"/>
    <n v="3880"/>
    <n v="194"/>
    <x v="1"/>
    <n v="29100"/>
    <n v="0.04"/>
    <n v="0.82"/>
    <n v="8.09"/>
  </r>
  <r>
    <x v="143"/>
    <x v="0"/>
    <x v="2"/>
    <x v="0"/>
    <x v="10"/>
    <x v="0"/>
    <x v="0"/>
    <n v="2300"/>
    <n v="74000"/>
    <n v="3700"/>
    <n v="185"/>
    <x v="1"/>
    <n v="27750"/>
    <n v="0.05"/>
    <n v="0.62"/>
    <n v="11.07"/>
  </r>
  <r>
    <x v="144"/>
    <x v="1"/>
    <x v="19"/>
    <x v="2"/>
    <x v="6"/>
    <x v="2"/>
    <x v="2"/>
    <n v="2750"/>
    <n v="88000"/>
    <n v="3520"/>
    <n v="176"/>
    <x v="1"/>
    <n v="26400"/>
    <n v="0.04"/>
    <n v="0.78"/>
    <n v="8.6"/>
  </r>
  <r>
    <x v="145"/>
    <x v="1"/>
    <x v="14"/>
    <x v="0"/>
    <x v="2"/>
    <x v="0"/>
    <x v="2"/>
    <n v="2250"/>
    <n v="73000"/>
    <n v="3650"/>
    <n v="182"/>
    <x v="1"/>
    <n v="27375"/>
    <n v="0.05"/>
    <n v="0.62"/>
    <n v="11.17"/>
  </r>
  <r>
    <x v="151"/>
    <x v="0"/>
    <x v="8"/>
    <x v="1"/>
    <x v="0"/>
    <x v="1"/>
    <x v="1"/>
    <n v="3100"/>
    <n v="95000"/>
    <n v="3800"/>
    <n v="190"/>
    <x v="1"/>
    <n v="28500"/>
    <n v="0.04"/>
    <n v="0.82"/>
    <n v="8.19"/>
  </r>
  <r>
    <x v="152"/>
    <x v="3"/>
    <x v="9"/>
    <x v="2"/>
    <x v="3"/>
    <x v="0"/>
    <x v="1"/>
    <n v="1900"/>
    <n v="66000"/>
    <n v="3300"/>
    <n v="165"/>
    <x v="1"/>
    <n v="24750"/>
    <n v="0.05"/>
    <n v="0.57999999999999996"/>
    <n v="12.03"/>
  </r>
  <r>
    <x v="153"/>
    <x v="0"/>
    <x v="11"/>
    <x v="2"/>
    <x v="6"/>
    <x v="2"/>
    <x v="1"/>
    <n v="3950"/>
    <n v="121000"/>
    <n v="4840"/>
    <n v="242"/>
    <x v="1"/>
    <n v="36300"/>
    <n v="0.04"/>
    <n v="0.82"/>
    <n v="8.19"/>
  </r>
  <r>
    <x v="154"/>
    <x v="0"/>
    <x v="17"/>
    <x v="2"/>
    <x v="6"/>
    <x v="3"/>
    <x v="1"/>
    <n v="5800"/>
    <n v="61000"/>
    <n v="1830"/>
    <n v="92"/>
    <x v="1"/>
    <n v="22875"/>
    <n v="0.03"/>
    <n v="3.17"/>
    <n v="2.94"/>
  </r>
  <r>
    <x v="155"/>
    <x v="0"/>
    <x v="16"/>
    <x v="0"/>
    <x v="7"/>
    <x v="0"/>
    <x v="1"/>
    <n v="2350"/>
    <n v="75000"/>
    <n v="3750"/>
    <n v="188"/>
    <x v="1"/>
    <n v="28125"/>
    <n v="0.05"/>
    <n v="0.63"/>
    <n v="10.97"/>
  </r>
  <r>
    <x v="156"/>
    <x v="1"/>
    <x v="12"/>
    <x v="0"/>
    <x v="6"/>
    <x v="1"/>
    <x v="1"/>
    <n v="3400"/>
    <n v="102000"/>
    <n v="4080"/>
    <n v="204"/>
    <x v="1"/>
    <n v="30600"/>
    <n v="0.04"/>
    <n v="0.83"/>
    <n v="8"/>
  </r>
  <r>
    <x v="157"/>
    <x v="1"/>
    <x v="7"/>
    <x v="2"/>
    <x v="6"/>
    <x v="0"/>
    <x v="1"/>
    <n v="2150"/>
    <n v="72000"/>
    <n v="3600"/>
    <n v="180"/>
    <x v="1"/>
    <n v="27000"/>
    <n v="0.05"/>
    <n v="0.6"/>
    <n v="11.56"/>
  </r>
  <r>
    <x v="158"/>
    <x v="3"/>
    <x v="18"/>
    <x v="0"/>
    <x v="6"/>
    <x v="2"/>
    <x v="1"/>
    <n v="2850"/>
    <n v="91000"/>
    <n v="3640"/>
    <n v="182"/>
    <x v="1"/>
    <n v="27300"/>
    <n v="0.04"/>
    <n v="0.78"/>
    <n v="8.58"/>
  </r>
  <r>
    <x v="159"/>
    <x v="1"/>
    <x v="19"/>
    <x v="2"/>
    <x v="8"/>
    <x v="3"/>
    <x v="1"/>
    <n v="5400"/>
    <n v="58000"/>
    <n v="1740"/>
    <n v="87"/>
    <x v="1"/>
    <n v="21750"/>
    <n v="0.03"/>
    <n v="3.1"/>
    <n v="3.03"/>
  </r>
  <r>
    <x v="160"/>
    <x v="3"/>
    <x v="16"/>
    <x v="0"/>
    <x v="0"/>
    <x v="0"/>
    <x v="1"/>
    <n v="2050"/>
    <n v="70000"/>
    <n v="3500"/>
    <n v="175"/>
    <x v="1"/>
    <n v="26250"/>
    <n v="0.05"/>
    <n v="0.59"/>
    <n v="11.8"/>
  </r>
  <r>
    <x v="161"/>
    <x v="1"/>
    <x v="12"/>
    <x v="0"/>
    <x v="2"/>
    <x v="1"/>
    <x v="1"/>
    <n v="3250"/>
    <n v="99000"/>
    <n v="3960"/>
    <n v="198"/>
    <x v="1"/>
    <n v="29700"/>
    <n v="0.04"/>
    <n v="0.82"/>
    <n v="8.14"/>
  </r>
  <r>
    <x v="162"/>
    <x v="2"/>
    <x v="16"/>
    <x v="0"/>
    <x v="3"/>
    <x v="0"/>
    <x v="1"/>
    <n v="2400"/>
    <n v="76000"/>
    <n v="3800"/>
    <n v="190"/>
    <x v="1"/>
    <n v="28500"/>
    <n v="0.05"/>
    <n v="0.63"/>
    <n v="10.88"/>
  </r>
  <r>
    <x v="163"/>
    <x v="0"/>
    <x v="2"/>
    <x v="0"/>
    <x v="8"/>
    <x v="2"/>
    <x v="1"/>
    <n v="3750"/>
    <n v="117000"/>
    <n v="4680"/>
    <n v="234"/>
    <x v="1"/>
    <n v="35100"/>
    <n v="0.04"/>
    <n v="0.8"/>
    <n v="8.36"/>
  </r>
  <r>
    <x v="164"/>
    <x v="0"/>
    <x v="19"/>
    <x v="2"/>
    <x v="6"/>
    <x v="3"/>
    <x v="3"/>
    <n v="5600"/>
    <n v="60000"/>
    <n v="1800"/>
    <n v="90"/>
    <x v="1"/>
    <n v="22500"/>
    <n v="0.03"/>
    <n v="3.11"/>
    <n v="3.02"/>
  </r>
  <r>
    <x v="165"/>
    <x v="1"/>
    <x v="9"/>
    <x v="2"/>
    <x v="8"/>
    <x v="0"/>
    <x v="3"/>
    <n v="2550"/>
    <n v="78000"/>
    <n v="3900"/>
    <n v="195"/>
    <x v="1"/>
    <n v="29250"/>
    <n v="0.05"/>
    <n v="0.65"/>
    <n v="10.47"/>
  </r>
  <r>
    <x v="166"/>
    <x v="3"/>
    <x v="3"/>
    <x v="1"/>
    <x v="2"/>
    <x v="1"/>
    <x v="3"/>
    <n v="3150"/>
    <n v="96000"/>
    <n v="3840"/>
    <n v="192"/>
    <x v="1"/>
    <n v="28800"/>
    <n v="0.04"/>
    <n v="0.82"/>
    <n v="8.14"/>
  </r>
  <r>
    <x v="167"/>
    <x v="0"/>
    <x v="2"/>
    <x v="0"/>
    <x v="4"/>
    <x v="0"/>
    <x v="3"/>
    <n v="2250"/>
    <n v="74000"/>
    <n v="3700"/>
    <n v="185"/>
    <x v="1"/>
    <n v="27750"/>
    <n v="0.05"/>
    <n v="0.61"/>
    <n v="11.33"/>
  </r>
  <r>
    <x v="168"/>
    <x v="1"/>
    <x v="2"/>
    <x v="0"/>
    <x v="0"/>
    <x v="2"/>
    <x v="3"/>
    <n v="3650"/>
    <n v="114000"/>
    <n v="4560"/>
    <n v="228"/>
    <x v="1"/>
    <n v="34200"/>
    <n v="0.04"/>
    <n v="0.8"/>
    <n v="8.3699999999999992"/>
  </r>
  <r>
    <x v="169"/>
    <x v="0"/>
    <x v="19"/>
    <x v="2"/>
    <x v="9"/>
    <x v="3"/>
    <x v="3"/>
    <n v="5200"/>
    <n v="56000"/>
    <n v="1680"/>
    <n v="84"/>
    <x v="1"/>
    <n v="21000"/>
    <n v="0.03"/>
    <n v="3.1"/>
    <n v="3.04"/>
  </r>
  <r>
    <x v="170"/>
    <x v="1"/>
    <x v="15"/>
    <x v="2"/>
    <x v="2"/>
    <x v="0"/>
    <x v="3"/>
    <n v="2450"/>
    <n v="77000"/>
    <n v="3850"/>
    <n v="192"/>
    <x v="1"/>
    <n v="28875"/>
    <n v="0.05"/>
    <n v="0.64"/>
    <n v="10.79"/>
  </r>
  <r>
    <x v="171"/>
    <x v="2"/>
    <x v="15"/>
    <x v="2"/>
    <x v="8"/>
    <x v="1"/>
    <x v="3"/>
    <n v="3350"/>
    <n v="101000"/>
    <n v="4040"/>
    <n v="202"/>
    <x v="1"/>
    <n v="30300"/>
    <n v="0.04"/>
    <n v="0.83"/>
    <n v="8.0399999999999991"/>
  </r>
  <r>
    <x v="172"/>
    <x v="1"/>
    <x v="16"/>
    <x v="0"/>
    <x v="6"/>
    <x v="0"/>
    <x v="3"/>
    <n v="2150"/>
    <n v="72000"/>
    <n v="3600"/>
    <n v="180"/>
    <x v="1"/>
    <n v="27000"/>
    <n v="0.05"/>
    <n v="0.6"/>
    <n v="11.56"/>
  </r>
  <r>
    <x v="173"/>
    <x v="3"/>
    <x v="2"/>
    <x v="0"/>
    <x v="2"/>
    <x v="2"/>
    <x v="3"/>
    <n v="4050"/>
    <n v="124000"/>
    <n v="4960"/>
    <n v="248"/>
    <x v="1"/>
    <n v="37200"/>
    <n v="0.04"/>
    <n v="0.82"/>
    <n v="8.19"/>
  </r>
  <r>
    <x v="174"/>
    <x v="1"/>
    <x v="19"/>
    <x v="2"/>
    <x v="6"/>
    <x v="3"/>
    <x v="3"/>
    <n v="5900"/>
    <n v="62000"/>
    <n v="1860"/>
    <n v="93"/>
    <x v="1"/>
    <n v="23250"/>
    <n v="0.03"/>
    <n v="3.17"/>
    <n v="2.94"/>
  </r>
  <r>
    <x v="175"/>
    <x v="3"/>
    <x v="8"/>
    <x v="1"/>
    <x v="9"/>
    <x v="0"/>
    <x v="3"/>
    <n v="2350"/>
    <n v="75000"/>
    <n v="3750"/>
    <n v="188"/>
    <x v="1"/>
    <n v="28125"/>
    <n v="0.05"/>
    <n v="0.63"/>
    <n v="10.97"/>
  </r>
  <r>
    <x v="176"/>
    <x v="0"/>
    <x v="4"/>
    <x v="0"/>
    <x v="9"/>
    <x v="1"/>
    <x v="3"/>
    <n v="3500"/>
    <n v="105000"/>
    <n v="4200"/>
    <n v="210"/>
    <x v="1"/>
    <n v="31500"/>
    <n v="0.04"/>
    <n v="0.83"/>
    <n v="8"/>
  </r>
  <r>
    <x v="177"/>
    <x v="3"/>
    <x v="18"/>
    <x v="0"/>
    <x v="0"/>
    <x v="0"/>
    <x v="3"/>
    <n v="2650"/>
    <n v="80000"/>
    <n v="4000"/>
    <n v="200"/>
    <x v="1"/>
    <n v="30000"/>
    <n v="0.05"/>
    <n v="0.66"/>
    <n v="10.32"/>
  </r>
  <r>
    <x v="178"/>
    <x v="0"/>
    <x v="17"/>
    <x v="2"/>
    <x v="8"/>
    <x v="2"/>
    <x v="0"/>
    <n v="2950"/>
    <n v="94000"/>
    <n v="3760"/>
    <n v="188"/>
    <x v="1"/>
    <n v="28200"/>
    <n v="0.04"/>
    <n v="0.78"/>
    <n v="8.56"/>
  </r>
  <r>
    <x v="179"/>
    <x v="1"/>
    <x v="17"/>
    <x v="2"/>
    <x v="6"/>
    <x v="3"/>
    <x v="0"/>
    <n v="5000"/>
    <n v="54000"/>
    <n v="1620"/>
    <n v="81"/>
    <x v="1"/>
    <n v="20250"/>
    <n v="0.03"/>
    <n v="3.09"/>
    <n v="3.05"/>
  </r>
  <r>
    <x v="180"/>
    <x v="2"/>
    <x v="17"/>
    <x v="2"/>
    <x v="10"/>
    <x v="0"/>
    <x v="0"/>
    <n v="1850"/>
    <n v="65000"/>
    <n v="3250"/>
    <n v="162"/>
    <x v="1"/>
    <n v="24375"/>
    <n v="0.05"/>
    <n v="0.56999999999999995"/>
    <n v="12.18"/>
  </r>
  <r>
    <x v="181"/>
    <x v="0"/>
    <x v="4"/>
    <x v="0"/>
    <x v="4"/>
    <x v="1"/>
    <x v="0"/>
    <n v="3200"/>
    <n v="98000"/>
    <n v="3920"/>
    <n v="196"/>
    <x v="1"/>
    <n v="29400"/>
    <n v="0.04"/>
    <n v="0.82"/>
    <n v="8.19"/>
  </r>
  <r>
    <x v="182"/>
    <x v="0"/>
    <x v="2"/>
    <x v="0"/>
    <x v="10"/>
    <x v="0"/>
    <x v="0"/>
    <n v="2200"/>
    <n v="73000"/>
    <n v="3650"/>
    <n v="182"/>
    <x v="1"/>
    <n v="27375"/>
    <n v="0.05"/>
    <n v="0.6"/>
    <n v="11.44"/>
  </r>
  <r>
    <x v="183"/>
    <x v="3"/>
    <x v="17"/>
    <x v="2"/>
    <x v="6"/>
    <x v="2"/>
    <x v="0"/>
    <n v="3700"/>
    <n v="116000"/>
    <n v="4640"/>
    <n v="232"/>
    <x v="1"/>
    <n v="34800"/>
    <n v="0.04"/>
    <n v="0.8"/>
    <n v="8.41"/>
  </r>
  <r>
    <x v="184"/>
    <x v="3"/>
    <x v="16"/>
    <x v="0"/>
    <x v="6"/>
    <x v="3"/>
    <x v="0"/>
    <n v="5400"/>
    <n v="58000"/>
    <n v="1740"/>
    <n v="87"/>
    <x v="1"/>
    <n v="21750"/>
    <n v="0.03"/>
    <n v="3.1"/>
    <n v="3.03"/>
  </r>
  <r>
    <x v="185"/>
    <x v="0"/>
    <x v="6"/>
    <x v="0"/>
    <x v="2"/>
    <x v="0"/>
    <x v="0"/>
    <n v="2300"/>
    <n v="75000"/>
    <n v="3750"/>
    <n v="188"/>
    <x v="1"/>
    <n v="28125"/>
    <n v="0.05"/>
    <n v="0.61"/>
    <n v="11.23"/>
  </r>
  <r>
    <x v="186"/>
    <x v="3"/>
    <x v="12"/>
    <x v="0"/>
    <x v="7"/>
    <x v="1"/>
    <x v="0"/>
    <n v="3100"/>
    <n v="95000"/>
    <n v="3800"/>
    <n v="190"/>
    <x v="1"/>
    <n v="28500"/>
    <n v="0.04"/>
    <n v="0.82"/>
    <n v="8.19"/>
  </r>
  <r>
    <x v="187"/>
    <x v="3"/>
    <x v="8"/>
    <x v="1"/>
    <x v="10"/>
    <x v="0"/>
    <x v="0"/>
    <n v="2000"/>
    <n v="69000"/>
    <n v="3450"/>
    <n v="172"/>
    <x v="1"/>
    <n v="25875"/>
    <n v="0.05"/>
    <n v="0.57999999999999996"/>
    <n v="11.94"/>
  </r>
  <r>
    <x v="188"/>
    <x v="3"/>
    <x v="18"/>
    <x v="0"/>
    <x v="1"/>
    <x v="2"/>
    <x v="0"/>
    <n v="3600"/>
    <n v="113000"/>
    <n v="4520"/>
    <n v="226"/>
    <x v="1"/>
    <n v="33900"/>
    <n v="0.04"/>
    <n v="0.8"/>
    <n v="8.42"/>
  </r>
  <r>
    <x v="132"/>
    <x v="0"/>
    <x v="14"/>
    <x v="0"/>
    <x v="6"/>
    <x v="3"/>
    <x v="2"/>
    <n v="5100"/>
    <n v="55000"/>
    <n v="1650"/>
    <n v="82"/>
    <x v="1"/>
    <n v="20625"/>
    <n v="0.03"/>
    <n v="3.09"/>
    <n v="3.04"/>
  </r>
  <r>
    <x v="133"/>
    <x v="3"/>
    <x v="4"/>
    <x v="0"/>
    <x v="2"/>
    <x v="0"/>
    <x v="2"/>
    <n v="2150"/>
    <n v="72000"/>
    <n v="3600"/>
    <n v="180"/>
    <x v="1"/>
    <n v="27000"/>
    <n v="0.05"/>
    <n v="0.6"/>
    <n v="11.56"/>
  </r>
  <r>
    <x v="134"/>
    <x v="3"/>
    <x v="13"/>
    <x v="1"/>
    <x v="6"/>
    <x v="1"/>
    <x v="2"/>
    <n v="3300"/>
    <n v="100000"/>
    <n v="4000"/>
    <n v="200"/>
    <x v="1"/>
    <n v="30000"/>
    <n v="0.04"/>
    <n v="0.82"/>
    <n v="8.09"/>
  </r>
  <r>
    <x v="135"/>
    <x v="2"/>
    <x v="4"/>
    <x v="0"/>
    <x v="9"/>
    <x v="0"/>
    <x v="2"/>
    <n v="1950"/>
    <n v="68000"/>
    <n v="3400"/>
    <n v="170"/>
    <x v="1"/>
    <n v="25500"/>
    <n v="0.05"/>
    <n v="0.56999999999999995"/>
    <n v="12.08"/>
  </r>
  <r>
    <x v="136"/>
    <x v="1"/>
    <x v="7"/>
    <x v="2"/>
    <x v="3"/>
    <x v="2"/>
    <x v="2"/>
    <n v="3900"/>
    <n v="120000"/>
    <n v="4800"/>
    <n v="240"/>
    <x v="1"/>
    <n v="36000"/>
    <n v="0.04"/>
    <n v="0.81"/>
    <n v="8.23"/>
  </r>
  <r>
    <x v="137"/>
    <x v="3"/>
    <x v="6"/>
    <x v="0"/>
    <x v="6"/>
    <x v="3"/>
    <x v="2"/>
    <n v="5700"/>
    <n v="60000"/>
    <n v="1800"/>
    <n v="90"/>
    <x v="1"/>
    <n v="22500"/>
    <n v="0.03"/>
    <n v="3.17"/>
    <n v="2.95"/>
  </r>
  <r>
    <x v="138"/>
    <x v="2"/>
    <x v="1"/>
    <x v="1"/>
    <x v="9"/>
    <x v="0"/>
    <x v="2"/>
    <n v="2400"/>
    <n v="76000"/>
    <n v="3800"/>
    <n v="190"/>
    <x v="1"/>
    <n v="28500"/>
    <n v="0.05"/>
    <n v="0.63"/>
    <n v="10.88"/>
  </r>
  <r>
    <x v="139"/>
    <x v="3"/>
    <x v="2"/>
    <x v="0"/>
    <x v="3"/>
    <x v="1"/>
    <x v="2"/>
    <n v="3450"/>
    <n v="103000"/>
    <n v="4120"/>
    <n v="206"/>
    <x v="1"/>
    <n v="30900"/>
    <n v="0.04"/>
    <n v="0.84"/>
    <n v="7.96"/>
  </r>
  <r>
    <x v="140"/>
    <x v="0"/>
    <x v="8"/>
    <x v="1"/>
    <x v="4"/>
    <x v="0"/>
    <x v="2"/>
    <n v="2550"/>
    <n v="78000"/>
    <n v="3900"/>
    <n v="195"/>
    <x v="1"/>
    <n v="29250"/>
    <n v="0.05"/>
    <n v="0.65"/>
    <n v="10.47"/>
  </r>
  <r>
    <x v="141"/>
    <x v="1"/>
    <x v="11"/>
    <x v="2"/>
    <x v="11"/>
    <x v="2"/>
    <x v="2"/>
    <n v="2900"/>
    <n v="93000"/>
    <n v="3720"/>
    <n v="186"/>
    <x v="1"/>
    <n v="27900"/>
    <n v="0.04"/>
    <n v="0.78"/>
    <n v="8.6199999999999992"/>
  </r>
  <r>
    <x v="142"/>
    <x v="3"/>
    <x v="15"/>
    <x v="2"/>
    <x v="2"/>
    <x v="3"/>
    <x v="2"/>
    <n v="5300"/>
    <n v="57000"/>
    <n v="1710"/>
    <n v="86"/>
    <x v="1"/>
    <n v="21375"/>
    <n v="0.03"/>
    <n v="3.1"/>
    <n v="3.03"/>
  </r>
  <r>
    <x v="143"/>
    <x v="0"/>
    <x v="13"/>
    <x v="1"/>
    <x v="6"/>
    <x v="0"/>
    <x v="2"/>
    <n v="2050"/>
    <n v="71000"/>
    <n v="3550"/>
    <n v="178"/>
    <x v="1"/>
    <n v="26625"/>
    <n v="0.05"/>
    <n v="0.57999999999999996"/>
    <n v="11.99"/>
  </r>
  <r>
    <x v="144"/>
    <x v="2"/>
    <x v="17"/>
    <x v="2"/>
    <x v="1"/>
    <x v="1"/>
    <x v="2"/>
    <n v="3400"/>
    <n v="102000"/>
    <n v="4080"/>
    <n v="204"/>
    <x v="1"/>
    <n v="30600"/>
    <n v="0.04"/>
    <n v="0.83"/>
    <n v="8"/>
  </r>
  <r>
    <x v="145"/>
    <x v="2"/>
    <x v="6"/>
    <x v="0"/>
    <x v="4"/>
    <x v="0"/>
    <x v="2"/>
    <n v="2250"/>
    <n v="74000"/>
    <n v="3700"/>
    <n v="185"/>
    <x v="1"/>
    <n v="27750"/>
    <n v="0.05"/>
    <n v="0.61"/>
    <n v="11.33"/>
  </r>
  <r>
    <x v="189"/>
    <x v="0"/>
    <x v="19"/>
    <x v="2"/>
    <x v="0"/>
    <x v="2"/>
    <x v="1"/>
    <n v="3800"/>
    <n v="118000"/>
    <n v="4720"/>
    <n v="236"/>
    <x v="1"/>
    <n v="35400"/>
    <n v="0.04"/>
    <n v="0.81"/>
    <n v="8.32"/>
  </r>
  <r>
    <x v="190"/>
    <x v="0"/>
    <x v="11"/>
    <x v="2"/>
    <x v="1"/>
    <x v="3"/>
    <x v="1"/>
    <n v="5600"/>
    <n v="59000"/>
    <n v="1770"/>
    <n v="88"/>
    <x v="1"/>
    <n v="22125"/>
    <n v="0.03"/>
    <n v="3.16"/>
    <n v="2.95"/>
  </r>
  <r>
    <x v="191"/>
    <x v="3"/>
    <x v="12"/>
    <x v="0"/>
    <x v="9"/>
    <x v="0"/>
    <x v="1"/>
    <n v="2450"/>
    <n v="77000"/>
    <n v="3850"/>
    <n v="192"/>
    <x v="1"/>
    <n v="28875"/>
    <n v="0.05"/>
    <n v="0.64"/>
    <n v="10.79"/>
  </r>
  <r>
    <x v="192"/>
    <x v="2"/>
    <x v="5"/>
    <x v="2"/>
    <x v="6"/>
    <x v="1"/>
    <x v="1"/>
    <n v="3150"/>
    <n v="97000"/>
    <n v="3880"/>
    <n v="194"/>
    <x v="1"/>
    <n v="29100"/>
    <n v="0.04"/>
    <n v="0.81"/>
    <n v="8.24"/>
  </r>
  <r>
    <x v="193"/>
    <x v="3"/>
    <x v="3"/>
    <x v="1"/>
    <x v="4"/>
    <x v="0"/>
    <x v="1"/>
    <n v="2300"/>
    <n v="75000"/>
    <n v="3750"/>
    <n v="188"/>
    <x v="1"/>
    <n v="28125"/>
    <n v="0.05"/>
    <n v="0.61"/>
    <n v="11.23"/>
  </r>
  <r>
    <x v="194"/>
    <x v="3"/>
    <x v="5"/>
    <x v="2"/>
    <x v="3"/>
    <x v="2"/>
    <x v="1"/>
    <n v="3700"/>
    <n v="115000"/>
    <n v="4600"/>
    <n v="230"/>
    <x v="1"/>
    <n v="34500"/>
    <n v="0.04"/>
    <n v="0.8"/>
    <n v="8.32"/>
  </r>
  <r>
    <x v="195"/>
    <x v="2"/>
    <x v="5"/>
    <x v="2"/>
    <x v="11"/>
    <x v="3"/>
    <x v="1"/>
    <n v="5500"/>
    <n v="59000"/>
    <n v="1770"/>
    <n v="88"/>
    <x v="1"/>
    <n v="22125"/>
    <n v="0.03"/>
    <n v="3.11"/>
    <n v="3.02"/>
  </r>
  <r>
    <x v="196"/>
    <x v="1"/>
    <x v="18"/>
    <x v="0"/>
    <x v="4"/>
    <x v="0"/>
    <x v="1"/>
    <n v="2350"/>
    <n v="76000"/>
    <n v="3800"/>
    <n v="190"/>
    <x v="1"/>
    <n v="28500"/>
    <n v="0.05"/>
    <n v="0.62"/>
    <n v="11.13"/>
  </r>
  <r>
    <x v="197"/>
    <x v="3"/>
    <x v="6"/>
    <x v="0"/>
    <x v="9"/>
    <x v="1"/>
    <x v="1"/>
    <n v="3350"/>
    <n v="101000"/>
    <n v="4040"/>
    <n v="202"/>
    <x v="1"/>
    <n v="30300"/>
    <n v="0.04"/>
    <n v="0.83"/>
    <n v="8.0399999999999991"/>
  </r>
  <r>
    <x v="198"/>
    <x v="3"/>
    <x v="4"/>
    <x v="0"/>
    <x v="5"/>
    <x v="0"/>
    <x v="1"/>
    <n v="2100"/>
    <n v="72000"/>
    <n v="3600"/>
    <n v="180"/>
    <x v="1"/>
    <n v="27000"/>
    <n v="0.05"/>
    <n v="0.57999999999999996"/>
    <n v="11.86"/>
  </r>
  <r>
    <x v="199"/>
    <x v="1"/>
    <x v="4"/>
    <x v="0"/>
    <x v="0"/>
    <x v="2"/>
    <x v="3"/>
    <n v="4000"/>
    <n v="123000"/>
    <n v="4920"/>
    <n v="246"/>
    <x v="1"/>
    <n v="36900"/>
    <n v="0.04"/>
    <n v="0.81"/>
    <n v="8.23"/>
  </r>
  <r>
    <x v="200"/>
    <x v="3"/>
    <x v="18"/>
    <x v="0"/>
    <x v="6"/>
    <x v="3"/>
    <x v="3"/>
    <n v="5900"/>
    <n v="62000"/>
    <n v="1860"/>
    <n v="93"/>
    <x v="1"/>
    <n v="23250"/>
    <n v="0.03"/>
    <n v="3.17"/>
    <n v="2.94"/>
  </r>
  <r>
    <x v="201"/>
    <x v="1"/>
    <x v="5"/>
    <x v="2"/>
    <x v="0"/>
    <x v="0"/>
    <x v="3"/>
    <n v="2500"/>
    <n v="79000"/>
    <n v="3950"/>
    <n v="198"/>
    <x v="1"/>
    <n v="29625"/>
    <n v="0.05"/>
    <n v="0.63"/>
    <n v="10.85"/>
  </r>
  <r>
    <x v="202"/>
    <x v="3"/>
    <x v="17"/>
    <x v="2"/>
    <x v="3"/>
    <x v="1"/>
    <x v="3"/>
    <n v="3550"/>
    <n v="107000"/>
    <n v="4280"/>
    <n v="214"/>
    <x v="1"/>
    <n v="32100"/>
    <n v="0.04"/>
    <n v="0.83"/>
    <n v="8.0399999999999991"/>
  </r>
  <r>
    <x v="203"/>
    <x v="1"/>
    <x v="3"/>
    <x v="1"/>
    <x v="2"/>
    <x v="0"/>
    <x v="3"/>
    <n v="2650"/>
    <n v="81000"/>
    <n v="4050"/>
    <n v="202"/>
    <x v="1"/>
    <n v="30375"/>
    <n v="0.05"/>
    <n v="0.65"/>
    <n v="10.46"/>
  </r>
  <r>
    <x v="204"/>
    <x v="2"/>
    <x v="7"/>
    <x v="2"/>
    <x v="2"/>
    <x v="2"/>
    <x v="3"/>
    <n v="3050"/>
    <n v="96000"/>
    <n v="3840"/>
    <n v="192"/>
    <x v="1"/>
    <n v="28800"/>
    <n v="0.04"/>
    <n v="0.79"/>
    <n v="8.44"/>
  </r>
  <r>
    <x v="205"/>
    <x v="0"/>
    <x v="19"/>
    <x v="2"/>
    <x v="6"/>
    <x v="3"/>
    <x v="3"/>
    <n v="5400"/>
    <n v="58000"/>
    <n v="1740"/>
    <n v="87"/>
    <x v="1"/>
    <n v="21750"/>
    <n v="0.03"/>
    <n v="3.1"/>
    <n v="3.03"/>
  </r>
  <r>
    <x v="206"/>
    <x v="3"/>
    <x v="0"/>
    <x v="0"/>
    <x v="2"/>
    <x v="0"/>
    <x v="3"/>
    <n v="2250"/>
    <n v="74000"/>
    <n v="3700"/>
    <n v="185"/>
    <x v="1"/>
    <n v="27750"/>
    <n v="0.05"/>
    <n v="0.61"/>
    <n v="11.33"/>
  </r>
  <r>
    <x v="207"/>
    <x v="0"/>
    <x v="12"/>
    <x v="0"/>
    <x v="3"/>
    <x v="1"/>
    <x v="3"/>
    <n v="3450"/>
    <n v="104000"/>
    <n v="4160"/>
    <n v="208"/>
    <x v="1"/>
    <n v="31200"/>
    <n v="0.04"/>
    <n v="0.83"/>
    <n v="8.0399999999999991"/>
  </r>
  <r>
    <x v="208"/>
    <x v="3"/>
    <x v="12"/>
    <x v="0"/>
    <x v="0"/>
    <x v="0"/>
    <x v="3"/>
    <n v="2550"/>
    <n v="79000"/>
    <n v="3950"/>
    <n v="198"/>
    <x v="1"/>
    <n v="29625"/>
    <n v="0.05"/>
    <n v="0.65"/>
    <n v="10.62"/>
  </r>
  <r>
    <x v="209"/>
    <x v="3"/>
    <x v="18"/>
    <x v="0"/>
    <x v="6"/>
    <x v="2"/>
    <x v="3"/>
    <n v="3850"/>
    <n v="120000"/>
    <n v="4800"/>
    <n v="240"/>
    <x v="1"/>
    <n v="36000"/>
    <n v="0.04"/>
    <n v="0.8"/>
    <n v="8.35"/>
  </r>
  <r>
    <x v="210"/>
    <x v="0"/>
    <x v="0"/>
    <x v="0"/>
    <x v="0"/>
    <x v="3"/>
    <x v="3"/>
    <n v="5700"/>
    <n v="61000"/>
    <n v="1830"/>
    <n v="92"/>
    <x v="1"/>
    <n v="22875"/>
    <n v="0.03"/>
    <n v="3.11"/>
    <n v="3.01"/>
  </r>
  <r>
    <x v="211"/>
    <x v="0"/>
    <x v="16"/>
    <x v="0"/>
    <x v="10"/>
    <x v="0"/>
    <x v="3"/>
    <n v="2750"/>
    <n v="83000"/>
    <n v="4150"/>
    <n v="208"/>
    <x v="1"/>
    <n v="31125"/>
    <n v="0.05"/>
    <n v="0.66"/>
    <n v="10.32"/>
  </r>
  <r>
    <x v="212"/>
    <x v="0"/>
    <x v="2"/>
    <x v="0"/>
    <x v="0"/>
    <x v="1"/>
    <x v="3"/>
    <n v="3250"/>
    <n v="99000"/>
    <n v="3960"/>
    <n v="198"/>
    <x v="1"/>
    <n v="29700"/>
    <n v="0.04"/>
    <n v="0.82"/>
    <n v="8.14"/>
  </r>
  <r>
    <x v="213"/>
    <x v="0"/>
    <x v="9"/>
    <x v="2"/>
    <x v="2"/>
    <x v="0"/>
    <x v="3"/>
    <n v="2400"/>
    <n v="77000"/>
    <n v="3850"/>
    <n v="192"/>
    <x v="1"/>
    <n v="28875"/>
    <n v="0.05"/>
    <n v="0.62"/>
    <n v="11.03"/>
  </r>
  <r>
    <x v="214"/>
    <x v="3"/>
    <x v="19"/>
    <x v="2"/>
    <x v="2"/>
    <x v="2"/>
    <x v="3"/>
    <n v="3750"/>
    <n v="117000"/>
    <n v="4680"/>
    <n v="234"/>
    <x v="1"/>
    <n v="35100"/>
    <n v="0.04"/>
    <n v="0.8"/>
    <n v="8.36"/>
  </r>
  <r>
    <x v="215"/>
    <x v="0"/>
    <x v="17"/>
    <x v="2"/>
    <x v="2"/>
    <x v="3"/>
    <x v="3"/>
    <n v="5600"/>
    <n v="60000"/>
    <n v="1800"/>
    <n v="90"/>
    <x v="1"/>
    <n v="22500"/>
    <n v="0.03"/>
    <n v="3.11"/>
    <n v="3.02"/>
  </r>
  <r>
    <x v="216"/>
    <x v="3"/>
    <x v="14"/>
    <x v="0"/>
    <x v="6"/>
    <x v="0"/>
    <x v="3"/>
    <n v="2600"/>
    <n v="81000"/>
    <n v="4050"/>
    <n v="202"/>
    <x v="1"/>
    <n v="30375"/>
    <n v="0.05"/>
    <n v="0.64"/>
    <n v="10.68"/>
  </r>
  <r>
    <x v="174"/>
    <x v="0"/>
    <x v="2"/>
    <x v="0"/>
    <x v="6"/>
    <x v="0"/>
    <x v="0"/>
    <n v="1450"/>
    <n v="58000"/>
    <n v="2900"/>
    <n v="145"/>
    <x v="1"/>
    <n v="21750"/>
    <n v="0.05"/>
    <n v="0.5"/>
    <n v="14"/>
  </r>
  <r>
    <x v="175"/>
    <x v="0"/>
    <x v="19"/>
    <x v="2"/>
    <x v="6"/>
    <x v="2"/>
    <x v="0"/>
    <n v="2850"/>
    <n v="89000"/>
    <n v="3560"/>
    <n v="178"/>
    <x v="1"/>
    <n v="26700"/>
    <n v="0.04"/>
    <n v="0.8"/>
    <n v="8.3699999999999992"/>
  </r>
  <r>
    <x v="176"/>
    <x v="1"/>
    <x v="11"/>
    <x v="2"/>
    <x v="0"/>
    <x v="1"/>
    <x v="0"/>
    <n v="2250"/>
    <n v="74000"/>
    <n v="3700"/>
    <n v="185"/>
    <x v="1"/>
    <n v="27750"/>
    <n v="0.05"/>
    <n v="0.61"/>
    <n v="11.33"/>
  </r>
  <r>
    <x v="177"/>
    <x v="3"/>
    <x v="1"/>
    <x v="1"/>
    <x v="2"/>
    <x v="3"/>
    <x v="0"/>
    <n v="4700"/>
    <n v="51000"/>
    <n v="1530"/>
    <n v="77"/>
    <x v="1"/>
    <n v="19125"/>
    <n v="0.03"/>
    <n v="3.07"/>
    <n v="3.07"/>
  </r>
  <r>
    <x v="174"/>
    <x v="2"/>
    <x v="14"/>
    <x v="0"/>
    <x v="3"/>
    <x v="1"/>
    <x v="0"/>
    <n v="2950"/>
    <n v="90000"/>
    <n v="3600"/>
    <n v="180"/>
    <x v="1"/>
    <n v="27000"/>
    <n v="0.04"/>
    <n v="0.82"/>
    <n v="8.15"/>
  </r>
  <r>
    <x v="175"/>
    <x v="2"/>
    <x v="2"/>
    <x v="0"/>
    <x v="9"/>
    <x v="0"/>
    <x v="0"/>
    <n v="1750"/>
    <n v="63000"/>
    <n v="3150"/>
    <n v="158"/>
    <x v="1"/>
    <n v="23625"/>
    <n v="0.05"/>
    <n v="0.56000000000000005"/>
    <n v="12.5"/>
  </r>
  <r>
    <x v="176"/>
    <x v="0"/>
    <x v="16"/>
    <x v="0"/>
    <x v="2"/>
    <x v="2"/>
    <x v="0"/>
    <n v="3350"/>
    <n v="105000"/>
    <n v="4200"/>
    <n v="210"/>
    <x v="1"/>
    <n v="31500"/>
    <n v="0.04"/>
    <n v="0.8"/>
    <n v="8.4"/>
  </r>
  <r>
    <x v="177"/>
    <x v="2"/>
    <x v="12"/>
    <x v="0"/>
    <x v="0"/>
    <x v="0"/>
    <x v="0"/>
    <n v="1950"/>
    <n v="67000"/>
    <n v="3350"/>
    <n v="168"/>
    <x v="1"/>
    <n v="25125"/>
    <n v="0.05"/>
    <n v="0.57999999999999996"/>
    <n v="11.88"/>
  </r>
  <r>
    <x v="217"/>
    <x v="3"/>
    <x v="11"/>
    <x v="2"/>
    <x v="10"/>
    <x v="3"/>
    <x v="0"/>
    <n v="5200"/>
    <n v="56000"/>
    <n v="1680"/>
    <n v="84"/>
    <x v="1"/>
    <n v="21000"/>
    <n v="0.03"/>
    <n v="3.1"/>
    <n v="3.04"/>
  </r>
  <r>
    <x v="174"/>
    <x v="2"/>
    <x v="11"/>
    <x v="2"/>
    <x v="6"/>
    <x v="1"/>
    <x v="0"/>
    <n v="2750"/>
    <n v="86000"/>
    <n v="3440"/>
    <n v="172"/>
    <x v="1"/>
    <n v="25800"/>
    <n v="0.04"/>
    <n v="0.8"/>
    <n v="8.3800000000000008"/>
  </r>
  <r>
    <x v="175"/>
    <x v="2"/>
    <x v="1"/>
    <x v="1"/>
    <x v="2"/>
    <x v="0"/>
    <x v="0"/>
    <n v="2050"/>
    <n v="70000"/>
    <n v="3500"/>
    <n v="175"/>
    <x v="1"/>
    <n v="26250"/>
    <n v="0.05"/>
    <n v="0.59"/>
    <n v="11.8"/>
  </r>
  <r>
    <x v="176"/>
    <x v="1"/>
    <x v="19"/>
    <x v="2"/>
    <x v="2"/>
    <x v="2"/>
    <x v="2"/>
    <n v="3550"/>
    <n v="111000"/>
    <n v="4440"/>
    <n v="222"/>
    <x v="1"/>
    <n v="33300"/>
    <n v="0.04"/>
    <n v="0.8"/>
    <n v="8.3800000000000008"/>
  </r>
  <r>
    <x v="177"/>
    <x v="2"/>
    <x v="6"/>
    <x v="0"/>
    <x v="6"/>
    <x v="0"/>
    <x v="2"/>
    <n v="2350"/>
    <n v="75000"/>
    <n v="3750"/>
    <n v="188"/>
    <x v="1"/>
    <n v="28125"/>
    <n v="0.05"/>
    <n v="0.63"/>
    <n v="10.97"/>
  </r>
  <r>
    <x v="218"/>
    <x v="3"/>
    <x v="12"/>
    <x v="0"/>
    <x v="6"/>
    <x v="3"/>
    <x v="2"/>
    <n v="5400"/>
    <n v="58000"/>
    <n v="1740"/>
    <n v="87"/>
    <x v="1"/>
    <n v="21750"/>
    <n v="0.03"/>
    <n v="3.1"/>
    <n v="3.03"/>
  </r>
  <r>
    <x v="219"/>
    <x v="3"/>
    <x v="14"/>
    <x v="0"/>
    <x v="5"/>
    <x v="1"/>
    <x v="2"/>
    <n v="3050"/>
    <n v="94000"/>
    <n v="3760"/>
    <n v="188"/>
    <x v="1"/>
    <n v="28200"/>
    <n v="0.04"/>
    <n v="0.81"/>
    <n v="8.25"/>
  </r>
  <r>
    <x v="220"/>
    <x v="0"/>
    <x v="0"/>
    <x v="0"/>
    <x v="8"/>
    <x v="0"/>
    <x v="2"/>
    <n v="2150"/>
    <n v="72000"/>
    <n v="3600"/>
    <n v="180"/>
    <x v="1"/>
    <n v="27000"/>
    <n v="0.05"/>
    <n v="0.6"/>
    <n v="11.56"/>
  </r>
  <r>
    <x v="221"/>
    <x v="3"/>
    <x v="13"/>
    <x v="1"/>
    <x v="1"/>
    <x v="2"/>
    <x v="2"/>
    <n v="3750"/>
    <n v="117000"/>
    <n v="4680"/>
    <n v="234"/>
    <x v="1"/>
    <n v="35100"/>
    <n v="0.04"/>
    <n v="0.8"/>
    <n v="8.36"/>
  </r>
  <r>
    <x v="222"/>
    <x v="2"/>
    <x v="5"/>
    <x v="2"/>
    <x v="2"/>
    <x v="0"/>
    <x v="2"/>
    <n v="2550"/>
    <n v="78000"/>
    <n v="3900"/>
    <n v="195"/>
    <x v="1"/>
    <n v="29250"/>
    <n v="0.05"/>
    <n v="0.65"/>
    <n v="10.47"/>
  </r>
  <r>
    <x v="223"/>
    <x v="3"/>
    <x v="0"/>
    <x v="0"/>
    <x v="4"/>
    <x v="3"/>
    <x v="2"/>
    <n v="5000"/>
    <n v="54000"/>
    <n v="1620"/>
    <n v="81"/>
    <x v="1"/>
    <n v="20250"/>
    <n v="0.03"/>
    <n v="3.09"/>
    <n v="3.05"/>
  </r>
  <r>
    <x v="224"/>
    <x v="2"/>
    <x v="9"/>
    <x v="2"/>
    <x v="2"/>
    <x v="1"/>
    <x v="2"/>
    <n v="3150"/>
    <n v="97000"/>
    <n v="3880"/>
    <n v="194"/>
    <x v="1"/>
    <n v="29100"/>
    <n v="0.04"/>
    <n v="0.81"/>
    <n v="8.24"/>
  </r>
  <r>
    <x v="225"/>
    <x v="3"/>
    <x v="12"/>
    <x v="0"/>
    <x v="6"/>
    <x v="0"/>
    <x v="2"/>
    <n v="2250"/>
    <n v="74000"/>
    <n v="3700"/>
    <n v="185"/>
    <x v="1"/>
    <n v="27750"/>
    <n v="0.05"/>
    <n v="0.61"/>
    <n v="11.33"/>
  </r>
  <r>
    <x v="226"/>
    <x v="3"/>
    <x v="13"/>
    <x v="1"/>
    <x v="6"/>
    <x v="2"/>
    <x v="2"/>
    <n v="3450"/>
    <n v="109000"/>
    <n v="4360"/>
    <n v="218"/>
    <x v="1"/>
    <n v="32700"/>
    <n v="0.04"/>
    <n v="0.79"/>
    <n v="8.48"/>
  </r>
  <r>
    <x v="227"/>
    <x v="3"/>
    <x v="14"/>
    <x v="0"/>
    <x v="2"/>
    <x v="0"/>
    <x v="2"/>
    <n v="1950"/>
    <n v="68000"/>
    <n v="3400"/>
    <n v="170"/>
    <x v="1"/>
    <n v="25500"/>
    <n v="0.05"/>
    <n v="0.56999999999999995"/>
    <n v="12.08"/>
  </r>
  <r>
    <x v="228"/>
    <x v="2"/>
    <x v="11"/>
    <x v="2"/>
    <x v="2"/>
    <x v="3"/>
    <x v="2"/>
    <n v="5600"/>
    <n v="60000"/>
    <n v="1800"/>
    <n v="90"/>
    <x v="1"/>
    <n v="22500"/>
    <n v="0.03"/>
    <n v="3.11"/>
    <n v="3.02"/>
  </r>
  <r>
    <x v="229"/>
    <x v="1"/>
    <x v="14"/>
    <x v="0"/>
    <x v="7"/>
    <x v="1"/>
    <x v="2"/>
    <n v="3350"/>
    <n v="101000"/>
    <n v="4040"/>
    <n v="202"/>
    <x v="1"/>
    <n v="30300"/>
    <n v="0.04"/>
    <n v="0.83"/>
    <n v="8.0399999999999991"/>
  </r>
  <r>
    <x v="230"/>
    <x v="3"/>
    <x v="16"/>
    <x v="0"/>
    <x v="2"/>
    <x v="0"/>
    <x v="2"/>
    <n v="2450"/>
    <n v="77000"/>
    <n v="3850"/>
    <n v="192"/>
    <x v="1"/>
    <n v="28875"/>
    <n v="0.05"/>
    <n v="0.64"/>
    <n v="10.79"/>
  </r>
  <r>
    <x v="231"/>
    <x v="1"/>
    <x v="16"/>
    <x v="0"/>
    <x v="4"/>
    <x v="2"/>
    <x v="1"/>
    <n v="3650"/>
    <n v="114000"/>
    <n v="4560"/>
    <n v="228"/>
    <x v="1"/>
    <n v="34200"/>
    <n v="0.04"/>
    <n v="0.8"/>
    <n v="8.3699999999999992"/>
  </r>
  <r>
    <x v="232"/>
    <x v="2"/>
    <x v="1"/>
    <x v="1"/>
    <x v="10"/>
    <x v="0"/>
    <x v="1"/>
    <n v="2250"/>
    <n v="73000"/>
    <n v="3650"/>
    <n v="182"/>
    <x v="1"/>
    <n v="27375"/>
    <n v="0.05"/>
    <n v="0.62"/>
    <n v="11.17"/>
  </r>
  <r>
    <x v="233"/>
    <x v="3"/>
    <x v="9"/>
    <x v="2"/>
    <x v="2"/>
    <x v="3"/>
    <x v="1"/>
    <n v="5500"/>
    <n v="59000"/>
    <n v="1770"/>
    <n v="88"/>
    <x v="1"/>
    <n v="22125"/>
    <n v="0.03"/>
    <n v="3.11"/>
    <n v="3.02"/>
  </r>
  <r>
    <x v="234"/>
    <x v="0"/>
    <x v="11"/>
    <x v="2"/>
    <x v="0"/>
    <x v="1"/>
    <x v="1"/>
    <n v="3250"/>
    <n v="99000"/>
    <n v="3960"/>
    <n v="198"/>
    <x v="1"/>
    <n v="29700"/>
    <n v="0.04"/>
    <n v="0.82"/>
    <n v="8.14"/>
  </r>
  <r>
    <x v="235"/>
    <x v="0"/>
    <x v="13"/>
    <x v="1"/>
    <x v="9"/>
    <x v="0"/>
    <x v="1"/>
    <n v="2050"/>
    <n v="71000"/>
    <n v="3550"/>
    <n v="178"/>
    <x v="1"/>
    <n v="26625"/>
    <n v="0.05"/>
    <n v="0.57999999999999996"/>
    <n v="11.99"/>
  </r>
  <r>
    <x v="236"/>
    <x v="3"/>
    <x v="11"/>
    <x v="2"/>
    <x v="2"/>
    <x v="2"/>
    <x v="1"/>
    <n v="3850"/>
    <n v="119000"/>
    <n v="4760"/>
    <n v="238"/>
    <x v="1"/>
    <n v="35700"/>
    <n v="0.04"/>
    <n v="0.81"/>
    <n v="8.27"/>
  </r>
  <r>
    <x v="237"/>
    <x v="0"/>
    <x v="4"/>
    <x v="0"/>
    <x v="2"/>
    <x v="0"/>
    <x v="1"/>
    <n v="2550"/>
    <n v="79000"/>
    <n v="3950"/>
    <n v="198"/>
    <x v="1"/>
    <n v="29625"/>
    <n v="0.05"/>
    <n v="0.65"/>
    <n v="10.62"/>
  </r>
  <r>
    <x v="238"/>
    <x v="0"/>
    <x v="11"/>
    <x v="2"/>
    <x v="1"/>
    <x v="3"/>
    <x v="1"/>
    <n v="5300"/>
    <n v="57000"/>
    <n v="1710"/>
    <n v="86"/>
    <x v="1"/>
    <n v="21375"/>
    <n v="0.03"/>
    <n v="3.1"/>
    <n v="3.03"/>
  </r>
  <r>
    <x v="239"/>
    <x v="2"/>
    <x v="12"/>
    <x v="0"/>
    <x v="2"/>
    <x v="1"/>
    <x v="1"/>
    <n v="3150"/>
    <n v="96000"/>
    <n v="3840"/>
    <n v="192"/>
    <x v="1"/>
    <n v="28800"/>
    <n v="0.04"/>
    <n v="0.82"/>
    <n v="8.14"/>
  </r>
  <r>
    <x v="240"/>
    <x v="2"/>
    <x v="14"/>
    <x v="0"/>
    <x v="10"/>
    <x v="0"/>
    <x v="1"/>
    <n v="2350"/>
    <n v="75000"/>
    <n v="3750"/>
    <n v="188"/>
    <x v="1"/>
    <n v="28125"/>
    <n v="0.05"/>
    <n v="0.63"/>
    <n v="10.97"/>
  </r>
  <r>
    <x v="241"/>
    <x v="3"/>
    <x v="6"/>
    <x v="0"/>
    <x v="2"/>
    <x v="2"/>
    <x v="1"/>
    <n v="3950"/>
    <n v="122000"/>
    <n v="4880"/>
    <n v="244"/>
    <x v="1"/>
    <n v="36600"/>
    <n v="0.04"/>
    <n v="0.81"/>
    <n v="8.27"/>
  </r>
  <r>
    <x v="242"/>
    <x v="0"/>
    <x v="14"/>
    <x v="0"/>
    <x v="6"/>
    <x v="0"/>
    <x v="1"/>
    <n v="2650"/>
    <n v="81000"/>
    <n v="4050"/>
    <n v="202"/>
    <x v="1"/>
    <n v="30375"/>
    <n v="0.05"/>
    <n v="0.65"/>
    <n v="10.46"/>
  </r>
  <r>
    <x v="243"/>
    <x v="3"/>
    <x v="13"/>
    <x v="1"/>
    <x v="6"/>
    <x v="3"/>
    <x v="3"/>
    <n v="5700"/>
    <n v="61000"/>
    <n v="1830"/>
    <n v="92"/>
    <x v="1"/>
    <n v="22875"/>
    <n v="0.03"/>
    <n v="3.11"/>
    <n v="3.01"/>
  </r>
  <r>
    <x v="244"/>
    <x v="3"/>
    <x v="10"/>
    <x v="1"/>
    <x v="6"/>
    <x v="1"/>
    <x v="3"/>
    <n v="3450"/>
    <n v="104000"/>
    <n v="4160"/>
    <n v="208"/>
    <x v="1"/>
    <n v="31200"/>
    <n v="0.04"/>
    <n v="0.83"/>
    <n v="8.0399999999999991"/>
  </r>
  <r>
    <x v="245"/>
    <x v="2"/>
    <x v="9"/>
    <x v="2"/>
    <x v="2"/>
    <x v="0"/>
    <x v="3"/>
    <n v="2750"/>
    <n v="83000"/>
    <n v="4150"/>
    <n v="208"/>
    <x v="1"/>
    <n v="31125"/>
    <n v="0.05"/>
    <n v="0.66"/>
    <n v="10.32"/>
  </r>
  <r>
    <x v="246"/>
    <x v="0"/>
    <x v="0"/>
    <x v="0"/>
    <x v="2"/>
    <x v="2"/>
    <x v="3"/>
    <n v="3750"/>
    <n v="117000"/>
    <n v="4680"/>
    <n v="234"/>
    <x v="1"/>
    <n v="35100"/>
    <n v="0.04"/>
    <n v="0.8"/>
    <n v="8.36"/>
  </r>
  <r>
    <x v="247"/>
    <x v="3"/>
    <x v="1"/>
    <x v="1"/>
    <x v="6"/>
    <x v="0"/>
    <x v="3"/>
    <n v="2450"/>
    <n v="77000"/>
    <n v="3850"/>
    <n v="192"/>
    <x v="1"/>
    <n v="28875"/>
    <n v="0.05"/>
    <n v="0.64"/>
    <n v="10.79"/>
  </r>
  <r>
    <x v="248"/>
    <x v="2"/>
    <x v="8"/>
    <x v="1"/>
    <x v="4"/>
    <x v="3"/>
    <x v="3"/>
    <n v="5900"/>
    <n v="62000"/>
    <n v="1860"/>
    <n v="93"/>
    <x v="1"/>
    <n v="23250"/>
    <n v="0.03"/>
    <n v="3.17"/>
    <n v="2.94"/>
  </r>
  <r>
    <x v="249"/>
    <x v="1"/>
    <x v="11"/>
    <x v="2"/>
    <x v="0"/>
    <x v="1"/>
    <x v="3"/>
    <n v="3550"/>
    <n v="107000"/>
    <n v="4280"/>
    <n v="214"/>
    <x v="1"/>
    <n v="32100"/>
    <n v="0.04"/>
    <n v="0.83"/>
    <n v="8.0399999999999991"/>
  </r>
  <r>
    <x v="250"/>
    <x v="3"/>
    <x v="1"/>
    <x v="1"/>
    <x v="6"/>
    <x v="0"/>
    <x v="3"/>
    <n v="2850"/>
    <n v="85000"/>
    <n v="4250"/>
    <n v="212"/>
    <x v="1"/>
    <n v="31875"/>
    <n v="0.05"/>
    <n v="0.67"/>
    <n v="10.18"/>
  </r>
  <r>
    <x v="251"/>
    <x v="2"/>
    <x v="19"/>
    <x v="2"/>
    <x v="4"/>
    <x v="2"/>
    <x v="3"/>
    <n v="3950"/>
    <n v="121000"/>
    <n v="4840"/>
    <n v="242"/>
    <x v="1"/>
    <n v="36300"/>
    <n v="0.04"/>
    <n v="0.82"/>
    <n v="8.19"/>
  </r>
  <r>
    <x v="252"/>
    <x v="2"/>
    <x v="15"/>
    <x v="2"/>
    <x v="4"/>
    <x v="0"/>
    <x v="3"/>
    <n v="2650"/>
    <n v="81000"/>
    <n v="4050"/>
    <n v="202"/>
    <x v="1"/>
    <n v="30375"/>
    <n v="0.05"/>
    <n v="0.65"/>
    <n v="10.46"/>
  </r>
  <r>
    <x v="253"/>
    <x v="0"/>
    <x v="4"/>
    <x v="0"/>
    <x v="7"/>
    <x v="3"/>
    <x v="3"/>
    <n v="5800"/>
    <n v="61000"/>
    <n v="1830"/>
    <n v="92"/>
    <x v="1"/>
    <n v="22875"/>
    <n v="0.03"/>
    <n v="3.17"/>
    <n v="2.94"/>
  </r>
  <r>
    <x v="254"/>
    <x v="3"/>
    <x v="15"/>
    <x v="2"/>
    <x v="2"/>
    <x v="1"/>
    <x v="3"/>
    <n v="3650"/>
    <n v="110000"/>
    <n v="4400"/>
    <n v="220"/>
    <x v="1"/>
    <n v="33000"/>
    <n v="0.04"/>
    <n v="0.83"/>
    <n v="8.0399999999999991"/>
  </r>
  <r>
    <x v="255"/>
    <x v="2"/>
    <x v="12"/>
    <x v="0"/>
    <x v="1"/>
    <x v="0"/>
    <x v="3"/>
    <n v="2550"/>
    <n v="79000"/>
    <n v="3950"/>
    <n v="198"/>
    <x v="1"/>
    <n v="29625"/>
    <n v="0.05"/>
    <n v="0.65"/>
    <n v="10.62"/>
  </r>
  <r>
    <x v="256"/>
    <x v="1"/>
    <x v="15"/>
    <x v="2"/>
    <x v="0"/>
    <x v="2"/>
    <x v="3"/>
    <n v="4050"/>
    <n v="124000"/>
    <n v="4960"/>
    <n v="248"/>
    <x v="1"/>
    <n v="37200"/>
    <n v="0.04"/>
    <n v="0.82"/>
    <n v="8.19"/>
  </r>
  <r>
    <x v="257"/>
    <x v="2"/>
    <x v="9"/>
    <x v="2"/>
    <x v="2"/>
    <x v="0"/>
    <x v="0"/>
    <n v="1550"/>
    <n v="60000"/>
    <n v="3000"/>
    <n v="150"/>
    <x v="1"/>
    <n v="22500"/>
    <n v="0.05"/>
    <n v="0.52"/>
    <n v="13.52"/>
  </r>
  <r>
    <x v="258"/>
    <x v="1"/>
    <x v="8"/>
    <x v="1"/>
    <x v="2"/>
    <x v="2"/>
    <x v="0"/>
    <n v="2950"/>
    <n v="92000"/>
    <n v="3680"/>
    <n v="184"/>
    <x v="1"/>
    <n v="27600"/>
    <n v="0.04"/>
    <n v="0.8"/>
    <n v="8.36"/>
  </r>
  <r>
    <x v="259"/>
    <x v="0"/>
    <x v="2"/>
    <x v="0"/>
    <x v="9"/>
    <x v="1"/>
    <x v="0"/>
    <n v="2350"/>
    <n v="75000"/>
    <n v="3750"/>
    <n v="188"/>
    <x v="1"/>
    <n v="28125"/>
    <n v="0.05"/>
    <n v="0.63"/>
    <n v="10.97"/>
  </r>
  <r>
    <x v="260"/>
    <x v="0"/>
    <x v="9"/>
    <x v="2"/>
    <x v="6"/>
    <x v="3"/>
    <x v="0"/>
    <n v="4900"/>
    <n v="53000"/>
    <n v="1590"/>
    <n v="80"/>
    <x v="1"/>
    <n v="19875"/>
    <n v="0.03"/>
    <n v="3.08"/>
    <n v="3.06"/>
  </r>
  <r>
    <x v="261"/>
    <x v="3"/>
    <x v="5"/>
    <x v="2"/>
    <x v="6"/>
    <x v="1"/>
    <x v="0"/>
    <n v="3050"/>
    <n v="93000"/>
    <n v="3720"/>
    <n v="186"/>
    <x v="1"/>
    <n v="27900"/>
    <n v="0.04"/>
    <n v="0.82"/>
    <n v="8.15"/>
  </r>
  <r>
    <x v="262"/>
    <x v="1"/>
    <x v="12"/>
    <x v="0"/>
    <x v="4"/>
    <x v="0"/>
    <x v="0"/>
    <n v="1850"/>
    <n v="65000"/>
    <n v="3250"/>
    <n v="162"/>
    <x v="1"/>
    <n v="24375"/>
    <n v="0.05"/>
    <n v="0.56999999999999995"/>
    <n v="12.18"/>
  </r>
  <r>
    <x v="263"/>
    <x v="1"/>
    <x v="17"/>
    <x v="2"/>
    <x v="10"/>
    <x v="2"/>
    <x v="0"/>
    <n v="3450"/>
    <n v="108000"/>
    <n v="4320"/>
    <n v="216"/>
    <x v="1"/>
    <n v="32400"/>
    <n v="0.04"/>
    <n v="0.8"/>
    <n v="8.39"/>
  </r>
  <r>
    <x v="264"/>
    <x v="3"/>
    <x v="2"/>
    <x v="0"/>
    <x v="2"/>
    <x v="0"/>
    <x v="0"/>
    <n v="2050"/>
    <n v="70000"/>
    <n v="3500"/>
    <n v="175"/>
    <x v="1"/>
    <n v="26250"/>
    <n v="0.05"/>
    <n v="0.59"/>
    <n v="11.8"/>
  </r>
  <r>
    <x v="265"/>
    <x v="3"/>
    <x v="11"/>
    <x v="2"/>
    <x v="2"/>
    <x v="3"/>
    <x v="0"/>
    <n v="5400"/>
    <n v="58000"/>
    <n v="1740"/>
    <n v="87"/>
    <x v="1"/>
    <n v="21750"/>
    <n v="0.03"/>
    <n v="3.1"/>
    <n v="3.03"/>
  </r>
  <r>
    <x v="266"/>
    <x v="0"/>
    <x v="1"/>
    <x v="1"/>
    <x v="2"/>
    <x v="1"/>
    <x v="0"/>
    <n v="2850"/>
    <n v="89000"/>
    <n v="3560"/>
    <n v="178"/>
    <x v="1"/>
    <n v="26700"/>
    <n v="0.04"/>
    <n v="0.8"/>
    <n v="8.3699999999999992"/>
  </r>
  <r>
    <x v="267"/>
    <x v="3"/>
    <x v="9"/>
    <x v="2"/>
    <x v="6"/>
    <x v="0"/>
    <x v="0"/>
    <n v="2150"/>
    <n v="72000"/>
    <n v="3600"/>
    <n v="180"/>
    <x v="1"/>
    <n v="27000"/>
    <n v="0.05"/>
    <n v="0.6"/>
    <n v="11.56"/>
  </r>
  <r>
    <x v="268"/>
    <x v="1"/>
    <x v="17"/>
    <x v="2"/>
    <x v="5"/>
    <x v="2"/>
    <x v="2"/>
    <n v="3650"/>
    <n v="114000"/>
    <n v="4560"/>
    <n v="228"/>
    <x v="1"/>
    <n v="34200"/>
    <n v="0.04"/>
    <n v="0.8"/>
    <n v="8.3699999999999992"/>
  </r>
  <r>
    <x v="269"/>
    <x v="1"/>
    <x v="10"/>
    <x v="1"/>
    <x v="10"/>
    <x v="0"/>
    <x v="2"/>
    <n v="2450"/>
    <n v="77000"/>
    <n v="3850"/>
    <n v="192"/>
    <x v="1"/>
    <n v="28875"/>
    <n v="0.05"/>
    <n v="0.64"/>
    <n v="10.79"/>
  </r>
  <r>
    <x v="270"/>
    <x v="3"/>
    <x v="4"/>
    <x v="0"/>
    <x v="11"/>
    <x v="3"/>
    <x v="2"/>
    <n v="5600"/>
    <n v="60000"/>
    <n v="1800"/>
    <n v="90"/>
    <x v="1"/>
    <n v="22500"/>
    <n v="0.03"/>
    <n v="3.11"/>
    <n v="3.02"/>
  </r>
  <r>
    <x v="271"/>
    <x v="0"/>
    <x v="6"/>
    <x v="0"/>
    <x v="0"/>
    <x v="1"/>
    <x v="2"/>
    <n v="3150"/>
    <n v="97000"/>
    <n v="3880"/>
    <n v="194"/>
    <x v="1"/>
    <n v="29100"/>
    <n v="0.04"/>
    <n v="0.81"/>
    <n v="8.24"/>
  </r>
  <r>
    <x v="272"/>
    <x v="1"/>
    <x v="11"/>
    <x v="2"/>
    <x v="6"/>
    <x v="0"/>
    <x v="2"/>
    <n v="2250"/>
    <n v="74000"/>
    <n v="3700"/>
    <n v="185"/>
    <x v="1"/>
    <n v="27750"/>
    <n v="0.05"/>
    <n v="0.61"/>
    <n v="11.33"/>
  </r>
  <r>
    <x v="273"/>
    <x v="3"/>
    <x v="18"/>
    <x v="0"/>
    <x v="6"/>
    <x v="2"/>
    <x v="2"/>
    <n v="3850"/>
    <n v="120000"/>
    <n v="4800"/>
    <n v="240"/>
    <x v="1"/>
    <n v="36000"/>
    <n v="0.04"/>
    <n v="0.8"/>
    <n v="8.35"/>
  </r>
  <r>
    <x v="274"/>
    <x v="3"/>
    <x v="19"/>
    <x v="2"/>
    <x v="2"/>
    <x v="0"/>
    <x v="2"/>
    <n v="2650"/>
    <n v="81000"/>
    <n v="4050"/>
    <n v="202"/>
    <x v="1"/>
    <n v="30375"/>
    <n v="0.05"/>
    <n v="0.65"/>
    <n v="10.46"/>
  </r>
  <r>
    <x v="275"/>
    <x v="3"/>
    <x v="13"/>
    <x v="1"/>
    <x v="5"/>
    <x v="3"/>
    <x v="2"/>
    <n v="5200"/>
    <n v="56000"/>
    <n v="1680"/>
    <n v="84"/>
    <x v="1"/>
    <n v="21000"/>
    <n v="0.03"/>
    <n v="3.1"/>
    <n v="3.04"/>
  </r>
  <r>
    <x v="276"/>
    <x v="1"/>
    <x v="18"/>
    <x v="0"/>
    <x v="2"/>
    <x v="1"/>
    <x v="2"/>
    <n v="3250"/>
    <n v="100000"/>
    <n v="4000"/>
    <n v="200"/>
    <x v="1"/>
    <n v="30000"/>
    <n v="0.04"/>
    <n v="0.81"/>
    <n v="8.23"/>
  </r>
  <r>
    <x v="277"/>
    <x v="1"/>
    <x v="11"/>
    <x v="2"/>
    <x v="7"/>
    <x v="0"/>
    <x v="2"/>
    <n v="2350"/>
    <n v="76000"/>
    <n v="3800"/>
    <n v="190"/>
    <x v="1"/>
    <n v="28500"/>
    <n v="0.05"/>
    <n v="0.62"/>
    <n v="11.13"/>
  </r>
  <r>
    <x v="278"/>
    <x v="0"/>
    <x v="4"/>
    <x v="0"/>
    <x v="10"/>
    <x v="2"/>
    <x v="2"/>
    <n v="3550"/>
    <n v="112000"/>
    <n v="4480"/>
    <n v="224"/>
    <x v="1"/>
    <n v="33600"/>
    <n v="0.04"/>
    <n v="0.79"/>
    <n v="8.4600000000000009"/>
  </r>
  <r>
    <x v="279"/>
    <x v="1"/>
    <x v="14"/>
    <x v="0"/>
    <x v="0"/>
    <x v="0"/>
    <x v="2"/>
    <n v="2050"/>
    <n v="71000"/>
    <n v="3550"/>
    <n v="178"/>
    <x v="1"/>
    <n v="26625"/>
    <n v="0.05"/>
    <n v="0.57999999999999996"/>
    <n v="11.99"/>
  </r>
  <r>
    <x v="280"/>
    <x v="2"/>
    <x v="15"/>
    <x v="2"/>
    <x v="5"/>
    <x v="3"/>
    <x v="2"/>
    <n v="5800"/>
    <n v="62000"/>
    <n v="1860"/>
    <n v="93"/>
    <x v="1"/>
    <n v="23250"/>
    <n v="0.03"/>
    <n v="3.12"/>
    <n v="3.01"/>
  </r>
  <r>
    <x v="281"/>
    <x v="3"/>
    <x v="16"/>
    <x v="0"/>
    <x v="7"/>
    <x v="1"/>
    <x v="2"/>
    <n v="3450"/>
    <n v="104000"/>
    <n v="4160"/>
    <n v="208"/>
    <x v="1"/>
    <n v="31200"/>
    <n v="0.04"/>
    <n v="0.83"/>
    <n v="8.0399999999999991"/>
  </r>
  <r>
    <x v="282"/>
    <x v="0"/>
    <x v="14"/>
    <x v="0"/>
    <x v="2"/>
    <x v="0"/>
    <x v="2"/>
    <n v="2550"/>
    <n v="79000"/>
    <n v="3950"/>
    <n v="198"/>
    <x v="1"/>
    <n v="29625"/>
    <n v="0.05"/>
    <n v="0.65"/>
    <n v="10.62"/>
  </r>
  <r>
    <x v="283"/>
    <x v="2"/>
    <x v="17"/>
    <x v="2"/>
    <x v="3"/>
    <x v="2"/>
    <x v="1"/>
    <n v="3750"/>
    <n v="117000"/>
    <n v="4680"/>
    <n v="234"/>
    <x v="1"/>
    <n v="35100"/>
    <n v="0.04"/>
    <n v="0.8"/>
    <n v="8.36"/>
  </r>
  <r>
    <x v="284"/>
    <x v="3"/>
    <x v="18"/>
    <x v="0"/>
    <x v="0"/>
    <x v="0"/>
    <x v="1"/>
    <n v="2350"/>
    <n v="75000"/>
    <n v="3750"/>
    <n v="188"/>
    <x v="1"/>
    <n v="28125"/>
    <n v="0.05"/>
    <n v="0.63"/>
    <n v="10.97"/>
  </r>
  <r>
    <x v="285"/>
    <x v="0"/>
    <x v="14"/>
    <x v="0"/>
    <x v="6"/>
    <x v="3"/>
    <x v="1"/>
    <n v="5700"/>
    <n v="61000"/>
    <n v="1830"/>
    <n v="92"/>
    <x v="1"/>
    <n v="22875"/>
    <n v="0.03"/>
    <n v="3.11"/>
    <n v="3.01"/>
  </r>
  <r>
    <x v="286"/>
    <x v="0"/>
    <x v="12"/>
    <x v="0"/>
    <x v="5"/>
    <x v="1"/>
    <x v="1"/>
    <n v="3350"/>
    <n v="102000"/>
    <n v="4080"/>
    <n v="204"/>
    <x v="1"/>
    <n v="30600"/>
    <n v="0.04"/>
    <n v="0.82"/>
    <n v="8.1300000000000008"/>
  </r>
  <r>
    <x v="287"/>
    <x v="3"/>
    <x v="4"/>
    <x v="0"/>
    <x v="0"/>
    <x v="0"/>
    <x v="1"/>
    <n v="2150"/>
    <n v="73000"/>
    <n v="3650"/>
    <n v="182"/>
    <x v="1"/>
    <n v="27375"/>
    <n v="0.05"/>
    <n v="0.59"/>
    <n v="11.73"/>
  </r>
  <r>
    <x v="288"/>
    <x v="1"/>
    <x v="4"/>
    <x v="0"/>
    <x v="1"/>
    <x v="2"/>
    <x v="1"/>
    <n v="3950"/>
    <n v="122000"/>
    <n v="4880"/>
    <n v="244"/>
    <x v="1"/>
    <n v="36600"/>
    <n v="0.04"/>
    <n v="0.81"/>
    <n v="8.27"/>
  </r>
  <r>
    <x v="289"/>
    <x v="1"/>
    <x v="15"/>
    <x v="2"/>
    <x v="2"/>
    <x v="0"/>
    <x v="1"/>
    <n v="2650"/>
    <n v="81000"/>
    <n v="4050"/>
    <n v="202"/>
    <x v="1"/>
    <n v="30375"/>
    <n v="0.05"/>
    <n v="0.65"/>
    <n v="10.46"/>
  </r>
  <r>
    <x v="290"/>
    <x v="1"/>
    <x v="17"/>
    <x v="2"/>
    <x v="4"/>
    <x v="3"/>
    <x v="1"/>
    <n v="5500"/>
    <n v="59000"/>
    <n v="1770"/>
    <n v="88"/>
    <x v="1"/>
    <n v="22125"/>
    <n v="0.03"/>
    <n v="3.11"/>
    <n v="3.02"/>
  </r>
  <r>
    <x v="291"/>
    <x v="3"/>
    <x v="10"/>
    <x v="1"/>
    <x v="2"/>
    <x v="1"/>
    <x v="1"/>
    <n v="3250"/>
    <n v="99000"/>
    <n v="3960"/>
    <n v="198"/>
    <x v="1"/>
    <n v="29700"/>
    <n v="0.04"/>
    <n v="0.82"/>
    <n v="8.14"/>
  </r>
  <r>
    <x v="292"/>
    <x v="0"/>
    <x v="15"/>
    <x v="2"/>
    <x v="2"/>
    <x v="0"/>
    <x v="1"/>
    <n v="2450"/>
    <n v="77000"/>
    <n v="3850"/>
    <n v="192"/>
    <x v="1"/>
    <n v="28875"/>
    <n v="0.05"/>
    <n v="0.64"/>
    <n v="10.79"/>
  </r>
  <r>
    <x v="293"/>
    <x v="1"/>
    <x v="6"/>
    <x v="0"/>
    <x v="5"/>
    <x v="2"/>
    <x v="3"/>
    <n v="4050"/>
    <n v="125000"/>
    <n v="5000"/>
    <n v="250"/>
    <x v="1"/>
    <n v="37500"/>
    <n v="0.04"/>
    <n v="0.81"/>
    <n v="8.26"/>
  </r>
  <r>
    <x v="294"/>
    <x v="0"/>
    <x v="5"/>
    <x v="2"/>
    <x v="1"/>
    <x v="0"/>
    <x v="3"/>
    <n v="2750"/>
    <n v="84000"/>
    <n v="4200"/>
    <n v="210"/>
    <x v="1"/>
    <n v="31500"/>
    <n v="0.05"/>
    <n v="0.65"/>
    <n v="10.45"/>
  </r>
  <r>
    <x v="295"/>
    <x v="3"/>
    <x v="7"/>
    <x v="2"/>
    <x v="3"/>
    <x v="3"/>
    <x v="3"/>
    <n v="5900"/>
    <n v="63000"/>
    <n v="1890"/>
    <n v="94"/>
    <x v="1"/>
    <n v="23625"/>
    <n v="0.03"/>
    <n v="3.12"/>
    <n v="3"/>
  </r>
  <r>
    <x v="296"/>
    <x v="1"/>
    <x v="0"/>
    <x v="0"/>
    <x v="5"/>
    <x v="1"/>
    <x v="3"/>
    <n v="3550"/>
    <n v="108000"/>
    <n v="4320"/>
    <n v="216"/>
    <x v="1"/>
    <n v="32400"/>
    <n v="0.04"/>
    <n v="0.82"/>
    <n v="8.1300000000000008"/>
  </r>
  <r>
    <x v="297"/>
    <x v="3"/>
    <x v="6"/>
    <x v="0"/>
    <x v="1"/>
    <x v="0"/>
    <x v="3"/>
    <n v="2850"/>
    <n v="86000"/>
    <n v="4300"/>
    <n v="215"/>
    <x v="1"/>
    <n v="32250"/>
    <n v="0.05"/>
    <n v="0.66"/>
    <n v="10.32"/>
  </r>
  <r>
    <x v="298"/>
    <x v="2"/>
    <x v="17"/>
    <x v="2"/>
    <x v="6"/>
    <x v="2"/>
    <x v="3"/>
    <n v="3850"/>
    <n v="121000"/>
    <n v="4840"/>
    <n v="242"/>
    <x v="1"/>
    <n v="36300"/>
    <n v="0.04"/>
    <n v="0.8"/>
    <n v="8.43"/>
  </r>
  <r>
    <x v="299"/>
    <x v="0"/>
    <x v="13"/>
    <x v="1"/>
    <x v="10"/>
    <x v="0"/>
    <x v="3"/>
    <n v="2550"/>
    <n v="79000"/>
    <n v="3950"/>
    <n v="198"/>
    <x v="1"/>
    <n v="29625"/>
    <n v="0.05"/>
    <n v="0.65"/>
    <n v="10.62"/>
  </r>
  <r>
    <x v="300"/>
    <x v="3"/>
    <x v="0"/>
    <x v="0"/>
    <x v="2"/>
    <x v="3"/>
    <x v="3"/>
    <n v="6100"/>
    <n v="64000"/>
    <n v="1920"/>
    <n v="96"/>
    <x v="1"/>
    <n v="24000"/>
    <n v="0.03"/>
    <n v="3.18"/>
    <n v="2.93"/>
  </r>
  <r>
    <x v="301"/>
    <x v="3"/>
    <x v="19"/>
    <x v="2"/>
    <x v="6"/>
    <x v="1"/>
    <x v="3"/>
    <n v="3650"/>
    <n v="110000"/>
    <n v="4400"/>
    <n v="220"/>
    <x v="1"/>
    <n v="33000"/>
    <n v="0.04"/>
    <n v="0.83"/>
    <n v="8.0399999999999991"/>
  </r>
  <r>
    <x v="302"/>
    <x v="2"/>
    <x v="7"/>
    <x v="2"/>
    <x v="1"/>
    <x v="0"/>
    <x v="3"/>
    <n v="2950"/>
    <n v="88000"/>
    <n v="4400"/>
    <n v="220"/>
    <x v="1"/>
    <n v="33000"/>
    <n v="0.05"/>
    <n v="0.67"/>
    <n v="10.19"/>
  </r>
  <r>
    <x v="303"/>
    <x v="2"/>
    <x v="15"/>
    <x v="2"/>
    <x v="3"/>
    <x v="2"/>
    <x v="3"/>
    <n v="4050"/>
    <n v="125000"/>
    <n v="5000"/>
    <n v="250"/>
    <x v="1"/>
    <n v="37500"/>
    <n v="0.04"/>
    <n v="0.81"/>
    <n v="8.26"/>
  </r>
  <r>
    <x v="304"/>
    <x v="0"/>
    <x v="0"/>
    <x v="0"/>
    <x v="1"/>
    <x v="0"/>
    <x v="3"/>
    <n v="2750"/>
    <n v="84000"/>
    <n v="4200"/>
    <n v="210"/>
    <x v="1"/>
    <n v="31500"/>
    <n v="0.05"/>
    <n v="0.65"/>
    <n v="10.45"/>
  </r>
  <r>
    <x v="305"/>
    <x v="1"/>
    <x v="7"/>
    <x v="2"/>
    <x v="10"/>
    <x v="3"/>
    <x v="3"/>
    <n v="6000"/>
    <n v="63000"/>
    <n v="1890"/>
    <n v="94"/>
    <x v="1"/>
    <n v="23625"/>
    <n v="0.03"/>
    <n v="3.17"/>
    <n v="2.94"/>
  </r>
  <r>
    <x v="306"/>
    <x v="0"/>
    <x v="10"/>
    <x v="1"/>
    <x v="6"/>
    <x v="1"/>
    <x v="3"/>
    <n v="3750"/>
    <n v="113000"/>
    <n v="4520"/>
    <n v="226"/>
    <x v="1"/>
    <n v="33900"/>
    <n v="0.04"/>
    <n v="0.83"/>
    <n v="8.0399999999999991"/>
  </r>
  <r>
    <x v="307"/>
    <x v="2"/>
    <x v="4"/>
    <x v="0"/>
    <x v="2"/>
    <x v="0"/>
    <x v="3"/>
    <n v="2650"/>
    <n v="81000"/>
    <n v="4050"/>
    <n v="202"/>
    <x v="1"/>
    <n v="30375"/>
    <n v="0.05"/>
    <n v="0.65"/>
    <n v="10.46"/>
  </r>
  <r>
    <x v="308"/>
    <x v="2"/>
    <x v="19"/>
    <x v="2"/>
    <x v="10"/>
    <x v="2"/>
    <x v="3"/>
    <n v="4150"/>
    <n v="127000"/>
    <n v="5080"/>
    <n v="254"/>
    <x v="1"/>
    <n v="38100"/>
    <n v="0.04"/>
    <n v="0.82"/>
    <n v="8.18"/>
  </r>
  <r>
    <x v="22"/>
    <x v="1"/>
    <x v="0"/>
    <x v="0"/>
    <x v="3"/>
    <x v="1"/>
    <x v="3"/>
    <n v="2417.89"/>
    <n v="8982"/>
    <n v="282"/>
    <n v="29"/>
    <x v="12"/>
    <n v="10829.6"/>
    <n v="3.1399999999999997E-2"/>
    <n v="8.57"/>
    <n v="3.4788999999999999"/>
  </r>
  <r>
    <x v="10"/>
    <x v="3"/>
    <x v="12"/>
    <x v="0"/>
    <x v="10"/>
    <x v="1"/>
    <x v="3"/>
    <n v="2712.51"/>
    <n v="9938"/>
    <n v="859"/>
    <n v="2"/>
    <x v="9"/>
    <n v="4735.08"/>
    <n v="8.6400000000000005E-2"/>
    <n v="3.16"/>
    <n v="0.74560000000000004"/>
  </r>
  <r>
    <x v="81"/>
    <x v="1"/>
    <x v="4"/>
    <x v="0"/>
    <x v="6"/>
    <x v="0"/>
    <x v="3"/>
    <n v="2088.39"/>
    <n v="2859"/>
    <n v="933"/>
    <n v="44"/>
    <x v="1"/>
    <n v="4436.96"/>
    <n v="0.32629999999999998"/>
    <n v="2.2400000000000002"/>
    <n v="1.1246"/>
  </r>
  <r>
    <x v="80"/>
    <x v="1"/>
    <x v="11"/>
    <x v="2"/>
    <x v="6"/>
    <x v="1"/>
    <x v="1"/>
    <n v="688.4"/>
    <n v="4477"/>
    <n v="205"/>
    <n v="38"/>
    <x v="16"/>
    <n v="17378.22"/>
    <n v="4.58E-2"/>
    <n v="3.36"/>
    <n v="24.244399999999999"/>
  </r>
  <r>
    <x v="50"/>
    <x v="1"/>
    <x v="15"/>
    <x v="2"/>
    <x v="0"/>
    <x v="2"/>
    <x v="2"/>
    <n v="2426.42"/>
    <n v="6635"/>
    <n v="822"/>
    <n v="14"/>
    <x v="5"/>
    <n v="12020.84"/>
    <n v="0.1239"/>
    <n v="2.95"/>
    <n v="3.9540999999999999"/>
  </r>
  <r>
    <x v="49"/>
    <x v="1"/>
    <x v="12"/>
    <x v="0"/>
    <x v="6"/>
    <x v="3"/>
    <x v="1"/>
    <n v="2191.96"/>
    <n v="9477"/>
    <n v="898"/>
    <n v="42"/>
    <x v="1"/>
    <n v="18187.47"/>
    <n v="9.4799999999999995E-2"/>
    <n v="2.44"/>
    <n v="7.2973999999999997"/>
  </r>
  <r>
    <x v="58"/>
    <x v="3"/>
    <x v="6"/>
    <x v="0"/>
    <x v="3"/>
    <x v="2"/>
    <x v="0"/>
    <n v="2529.77"/>
    <n v="5797"/>
    <n v="633"/>
    <n v="11"/>
    <x v="5"/>
    <n v="8063.26"/>
    <n v="0.10920000000000001"/>
    <n v="4"/>
    <n v="2.1873"/>
  </r>
  <r>
    <x v="22"/>
    <x v="1"/>
    <x v="18"/>
    <x v="0"/>
    <x v="2"/>
    <x v="1"/>
    <x v="3"/>
    <n v="2417.89"/>
    <n v="8982"/>
    <n v="282"/>
    <n v="29"/>
    <x v="12"/>
    <n v="10829.6"/>
    <n v="3.1399999999999997E-2"/>
    <n v="8.57"/>
    <n v="3.4788999999999999"/>
  </r>
  <r>
    <x v="53"/>
    <x v="0"/>
    <x v="4"/>
    <x v="0"/>
    <x v="7"/>
    <x v="2"/>
    <x v="3"/>
    <n v="1233.05"/>
    <n v="6000"/>
    <n v="870"/>
    <n v="19"/>
    <x v="5"/>
    <n v="17779.580000000002"/>
    <n v="0.14499999999999999"/>
    <n v="1.42"/>
    <n v="13.4192"/>
  </r>
  <r>
    <x v="7"/>
    <x v="1"/>
    <x v="1"/>
    <x v="1"/>
    <x v="8"/>
    <x v="0"/>
    <x v="0"/>
    <n v="3258.37"/>
    <n v="6139"/>
    <n v="843"/>
    <n v="34"/>
    <x v="3"/>
    <n v="16217.39"/>
    <n v="0.13730000000000001"/>
    <n v="3.87"/>
    <n v="3.9771000000000001"/>
  </r>
  <r>
    <x v="75"/>
    <x v="1"/>
    <x v="15"/>
    <x v="2"/>
    <x v="2"/>
    <x v="3"/>
    <x v="0"/>
    <n v="4860.17"/>
    <n v="9056"/>
    <n v="222"/>
    <n v="37"/>
    <x v="17"/>
    <n v="12814.42"/>
    <n v="2.4500000000000001E-2"/>
    <n v="21.89"/>
    <n v="1.6366000000000001"/>
  </r>
  <r>
    <x v="13"/>
    <x v="1"/>
    <x v="2"/>
    <x v="0"/>
    <x v="6"/>
    <x v="3"/>
    <x v="1"/>
    <n v="560.38"/>
    <n v="9916"/>
    <n v="916"/>
    <n v="50"/>
    <x v="1"/>
    <n v="9119.65"/>
    <n v="9.2399999999999996E-2"/>
    <n v="0.61"/>
    <n v="15.273999999999999"/>
  </r>
  <r>
    <x v="3"/>
    <x v="1"/>
    <x v="17"/>
    <x v="2"/>
    <x v="2"/>
    <x v="3"/>
    <x v="1"/>
    <n v="1730.76"/>
    <n v="8184"/>
    <n v="821"/>
    <n v="33"/>
    <x v="3"/>
    <n v="7941.68"/>
    <n v="0.1003"/>
    <n v="2.11"/>
    <n v="3.5886"/>
  </r>
  <r>
    <x v="71"/>
    <x v="2"/>
    <x v="5"/>
    <x v="2"/>
    <x v="6"/>
    <x v="3"/>
    <x v="2"/>
    <n v="2760.36"/>
    <n v="5113"/>
    <n v="449"/>
    <n v="2"/>
    <x v="9"/>
    <n v="6173"/>
    <n v="8.7800000000000003E-2"/>
    <n v="6.15"/>
    <n v="1.2363"/>
  </r>
  <r>
    <x v="12"/>
    <x v="2"/>
    <x v="4"/>
    <x v="0"/>
    <x v="3"/>
    <x v="1"/>
    <x v="1"/>
    <n v="4080.86"/>
    <n v="3958"/>
    <n v="336"/>
    <n v="20"/>
    <x v="4"/>
    <n v="16097.73"/>
    <n v="8.4900000000000003E-2"/>
    <n v="12.15"/>
    <n v="2.9447000000000001"/>
  </r>
  <r>
    <x v="305"/>
    <x v="0"/>
    <x v="15"/>
    <x v="2"/>
    <x v="0"/>
    <x v="3"/>
    <x v="1"/>
    <n v="1730.76"/>
    <n v="8184"/>
    <n v="821"/>
    <n v="33"/>
    <x v="3"/>
    <n v="7941.68"/>
    <n v="0.1003"/>
    <n v="2.11"/>
    <n v="3.5886"/>
  </r>
  <r>
    <x v="306"/>
    <x v="0"/>
    <x v="0"/>
    <x v="0"/>
    <x v="6"/>
    <x v="2"/>
    <x v="0"/>
    <n v="2828.02"/>
    <n v="5429"/>
    <n v="502"/>
    <n v="17"/>
    <x v="2"/>
    <n v="5384.96"/>
    <n v="9.2499999999999999E-2"/>
    <n v="5.63"/>
    <n v="0.90410000000000001"/>
  </r>
  <r>
    <x v="307"/>
    <x v="0"/>
    <x v="9"/>
    <x v="2"/>
    <x v="2"/>
    <x v="0"/>
    <x v="1"/>
    <n v="969.39"/>
    <n v="8563"/>
    <n v="879"/>
    <n v="2"/>
    <x v="9"/>
    <n v="10178.950000000001"/>
    <n v="0.1027"/>
    <n v="1.1000000000000001"/>
    <n v="9.5004000000000008"/>
  </r>
  <r>
    <x v="308"/>
    <x v="3"/>
    <x v="5"/>
    <x v="2"/>
    <x v="0"/>
    <x v="1"/>
    <x v="1"/>
    <n v="688.4"/>
    <n v="4477"/>
    <n v="205"/>
    <n v="38"/>
    <x v="16"/>
    <n v="17378.22"/>
    <n v="4.58E-2"/>
    <n v="3.36"/>
    <n v="24.244399999999999"/>
  </r>
  <r>
    <x v="52"/>
    <x v="0"/>
    <x v="0"/>
    <x v="0"/>
    <x v="6"/>
    <x v="3"/>
    <x v="2"/>
    <n v="2947.59"/>
    <n v="6421"/>
    <n v="409"/>
    <n v="32"/>
    <x v="18"/>
    <n v="13245.18"/>
    <n v="6.3700000000000007E-2"/>
    <n v="7.21"/>
    <n v="3.4935999999999998"/>
  </r>
  <r>
    <x v="81"/>
    <x v="3"/>
    <x v="11"/>
    <x v="2"/>
    <x v="7"/>
    <x v="0"/>
    <x v="3"/>
    <n v="2088.39"/>
    <n v="2859"/>
    <n v="933"/>
    <n v="44"/>
    <x v="1"/>
    <n v="4436.96"/>
    <n v="0.32629999999999998"/>
    <n v="2.2400000000000002"/>
    <n v="1.1246"/>
  </r>
  <r>
    <x v="55"/>
    <x v="3"/>
    <x v="7"/>
    <x v="2"/>
    <x v="4"/>
    <x v="2"/>
    <x v="2"/>
    <n v="1358.97"/>
    <n v="8342"/>
    <n v="147"/>
    <n v="37"/>
    <x v="7"/>
    <n v="3523.57"/>
    <n v="1.7600000000000001E-2"/>
    <n v="9.24"/>
    <n v="1.5928"/>
  </r>
  <r>
    <x v="26"/>
    <x v="3"/>
    <x v="16"/>
    <x v="0"/>
    <x v="8"/>
    <x v="0"/>
    <x v="0"/>
    <n v="3114.54"/>
    <n v="7818"/>
    <n v="441"/>
    <n v="39"/>
    <x v="14"/>
    <n v="7945.99"/>
    <n v="5.6399999999999999E-2"/>
    <n v="7.06"/>
    <n v="1.5512999999999999"/>
  </r>
  <r>
    <x v="12"/>
    <x v="1"/>
    <x v="7"/>
    <x v="2"/>
    <x v="10"/>
    <x v="1"/>
    <x v="1"/>
    <n v="4080.86"/>
    <n v="3958"/>
    <n v="336"/>
    <n v="20"/>
    <x v="4"/>
    <n v="16097.73"/>
    <n v="8.4900000000000003E-2"/>
    <n v="12.15"/>
    <n v="2.9447000000000001"/>
  </r>
  <r>
    <x v="67"/>
    <x v="2"/>
    <x v="16"/>
    <x v="0"/>
    <x v="2"/>
    <x v="1"/>
    <x v="1"/>
    <n v="3283.84"/>
    <n v="5414"/>
    <n v="643"/>
    <n v="4"/>
    <x v="6"/>
    <n v="19911.599999999999"/>
    <n v="0.1188"/>
    <n v="5.1100000000000003"/>
    <n v="5.0635000000000003"/>
  </r>
  <r>
    <x v="309"/>
    <x v="1"/>
    <x v="0"/>
    <x v="0"/>
    <x v="3"/>
    <x v="0"/>
    <x v="0"/>
    <n v="1650"/>
    <n v="61000"/>
    <n v="3050"/>
    <n v="152"/>
    <x v="1"/>
    <n v="22875"/>
    <n v="0.05"/>
    <n v="0.54"/>
    <n v="12.86"/>
  </r>
  <r>
    <x v="305"/>
    <x v="2"/>
    <x v="18"/>
    <x v="0"/>
    <x v="6"/>
    <x v="2"/>
    <x v="0"/>
    <n v="3050"/>
    <n v="95000"/>
    <n v="3800"/>
    <n v="190"/>
    <x v="1"/>
    <n v="28500"/>
    <n v="0.04"/>
    <n v="0.8"/>
    <n v="8.34"/>
  </r>
  <r>
    <x v="306"/>
    <x v="2"/>
    <x v="13"/>
    <x v="1"/>
    <x v="4"/>
    <x v="1"/>
    <x v="0"/>
    <n v="2450"/>
    <n v="78000"/>
    <n v="3900"/>
    <n v="195"/>
    <x v="1"/>
    <n v="29250"/>
    <n v="0.05"/>
    <n v="0.63"/>
    <n v="10.94"/>
  </r>
  <r>
    <x v="307"/>
    <x v="0"/>
    <x v="14"/>
    <x v="0"/>
    <x v="4"/>
    <x v="3"/>
    <x v="0"/>
    <n v="5000"/>
    <n v="54000"/>
    <n v="1620"/>
    <n v="81"/>
    <x v="1"/>
    <n v="20250"/>
    <n v="0.03"/>
    <n v="3.09"/>
    <n v="3.05"/>
  </r>
  <r>
    <x v="308"/>
    <x v="2"/>
    <x v="2"/>
    <x v="0"/>
    <x v="10"/>
    <x v="1"/>
    <x v="0"/>
    <n v="3150"/>
    <n v="98000"/>
    <n v="3920"/>
    <n v="196"/>
    <x v="1"/>
    <n v="29400"/>
    <n v="0.04"/>
    <n v="0.8"/>
    <n v="8.33"/>
  </r>
  <r>
    <x v="310"/>
    <x v="3"/>
    <x v="14"/>
    <x v="0"/>
    <x v="9"/>
    <x v="0"/>
    <x v="0"/>
    <n v="1950"/>
    <n v="68000"/>
    <n v="3400"/>
    <n v="170"/>
    <x v="1"/>
    <n v="25500"/>
    <n v="0.05"/>
    <n v="0.56999999999999995"/>
    <n v="12.08"/>
  </r>
  <r>
    <x v="311"/>
    <x v="1"/>
    <x v="9"/>
    <x v="2"/>
    <x v="6"/>
    <x v="2"/>
    <x v="0"/>
    <n v="3550"/>
    <n v="112000"/>
    <n v="4480"/>
    <n v="224"/>
    <x v="1"/>
    <n v="33600"/>
    <n v="0.04"/>
    <n v="0.79"/>
    <n v="8.4600000000000009"/>
  </r>
  <r>
    <x v="312"/>
    <x v="0"/>
    <x v="7"/>
    <x v="2"/>
    <x v="2"/>
    <x v="0"/>
    <x v="0"/>
    <n v="2150"/>
    <n v="72000"/>
    <n v="3600"/>
    <n v="180"/>
    <x v="1"/>
    <n v="27000"/>
    <n v="0.05"/>
    <n v="0.6"/>
    <n v="11.56"/>
  </r>
  <r>
    <x v="313"/>
    <x v="3"/>
    <x v="7"/>
    <x v="2"/>
    <x v="1"/>
    <x v="3"/>
    <x v="0"/>
    <n v="5500"/>
    <n v="59000"/>
    <n v="1770"/>
    <n v="88"/>
    <x v="1"/>
    <n v="22125"/>
    <n v="0.03"/>
    <n v="3.11"/>
    <n v="3.02"/>
  </r>
  <r>
    <x v="314"/>
    <x v="0"/>
    <x v="14"/>
    <x v="0"/>
    <x v="5"/>
    <x v="1"/>
    <x v="0"/>
    <n v="2950"/>
    <n v="92000"/>
    <n v="3680"/>
    <n v="184"/>
    <x v="1"/>
    <n v="27600"/>
    <n v="0.04"/>
    <n v="0.8"/>
    <n v="8.36"/>
  </r>
  <r>
    <x v="315"/>
    <x v="2"/>
    <x v="0"/>
    <x v="0"/>
    <x v="6"/>
    <x v="0"/>
    <x v="0"/>
    <n v="2250"/>
    <n v="74000"/>
    <n v="3700"/>
    <n v="185"/>
    <x v="1"/>
    <n v="27750"/>
    <n v="0.05"/>
    <n v="0.61"/>
    <n v="11.33"/>
  </r>
  <r>
    <x v="316"/>
    <x v="0"/>
    <x v="6"/>
    <x v="0"/>
    <x v="11"/>
    <x v="2"/>
    <x v="2"/>
    <n v="3750"/>
    <n v="118000"/>
    <n v="4720"/>
    <n v="236"/>
    <x v="1"/>
    <n v="35400"/>
    <n v="0.04"/>
    <n v="0.79"/>
    <n v="8.44"/>
  </r>
  <r>
    <x v="317"/>
    <x v="0"/>
    <x v="8"/>
    <x v="1"/>
    <x v="6"/>
    <x v="0"/>
    <x v="2"/>
    <n v="2550"/>
    <n v="79000"/>
    <n v="3950"/>
    <n v="198"/>
    <x v="1"/>
    <n v="29625"/>
    <n v="0.05"/>
    <n v="0.65"/>
    <n v="10.62"/>
  </r>
  <r>
    <x v="318"/>
    <x v="1"/>
    <x v="17"/>
    <x v="2"/>
    <x v="2"/>
    <x v="3"/>
    <x v="2"/>
    <n v="5700"/>
    <n v="61000"/>
    <n v="1830"/>
    <n v="92"/>
    <x v="1"/>
    <n v="22875"/>
    <n v="0.03"/>
    <n v="3.11"/>
    <n v="3.01"/>
  </r>
  <r>
    <x v="319"/>
    <x v="3"/>
    <x v="5"/>
    <x v="2"/>
    <x v="4"/>
    <x v="1"/>
    <x v="2"/>
    <n v="3250"/>
    <n v="100000"/>
    <n v="4000"/>
    <n v="200"/>
    <x v="1"/>
    <n v="30000"/>
    <n v="0.04"/>
    <n v="0.81"/>
    <n v="8.23"/>
  </r>
  <r>
    <x v="320"/>
    <x v="0"/>
    <x v="4"/>
    <x v="0"/>
    <x v="2"/>
    <x v="0"/>
    <x v="2"/>
    <n v="2350"/>
    <n v="76000"/>
    <n v="3800"/>
    <n v="190"/>
    <x v="1"/>
    <n v="28500"/>
    <n v="0.05"/>
    <n v="0.62"/>
    <n v="11.13"/>
  </r>
  <r>
    <x v="321"/>
    <x v="0"/>
    <x v="18"/>
    <x v="0"/>
    <x v="4"/>
    <x v="2"/>
    <x v="2"/>
    <n v="3950"/>
    <n v="122000"/>
    <n v="4880"/>
    <n v="244"/>
    <x v="1"/>
    <n v="36600"/>
    <n v="0.04"/>
    <n v="0.81"/>
    <n v="8.27"/>
  </r>
  <r>
    <x v="322"/>
    <x v="0"/>
    <x v="1"/>
    <x v="1"/>
    <x v="0"/>
    <x v="0"/>
    <x v="2"/>
    <n v="2750"/>
    <n v="84000"/>
    <n v="4200"/>
    <n v="210"/>
    <x v="1"/>
    <n v="31500"/>
    <n v="0.05"/>
    <n v="0.65"/>
    <n v="10.45"/>
  </r>
  <r>
    <x v="323"/>
    <x v="0"/>
    <x v="19"/>
    <x v="2"/>
    <x v="6"/>
    <x v="3"/>
    <x v="2"/>
    <n v="5300"/>
    <n v="57000"/>
    <n v="1710"/>
    <n v="86"/>
    <x v="1"/>
    <n v="21375"/>
    <n v="0.03"/>
    <n v="3.1"/>
    <n v="3.03"/>
  </r>
  <r>
    <x v="324"/>
    <x v="1"/>
    <x v="13"/>
    <x v="1"/>
    <x v="6"/>
    <x v="1"/>
    <x v="2"/>
    <n v="3350"/>
    <n v="102000"/>
    <n v="4080"/>
    <n v="204"/>
    <x v="1"/>
    <n v="30600"/>
    <n v="0.04"/>
    <n v="0.82"/>
    <n v="8.1300000000000008"/>
  </r>
  <r>
    <x v="325"/>
    <x v="3"/>
    <x v="4"/>
    <x v="0"/>
    <x v="1"/>
    <x v="0"/>
    <x v="2"/>
    <n v="2450"/>
    <n v="78000"/>
    <n v="3900"/>
    <n v="195"/>
    <x v="1"/>
    <n v="29250"/>
    <n v="0.05"/>
    <n v="0.63"/>
    <n v="10.94"/>
  </r>
  <r>
    <x v="326"/>
    <x v="2"/>
    <x v="2"/>
    <x v="0"/>
    <x v="2"/>
    <x v="2"/>
    <x v="2"/>
    <n v="3650"/>
    <n v="115000"/>
    <n v="4600"/>
    <n v="230"/>
    <x v="1"/>
    <n v="34500"/>
    <n v="0.04"/>
    <n v="0.79"/>
    <n v="8.4499999999999993"/>
  </r>
  <r>
    <x v="327"/>
    <x v="1"/>
    <x v="14"/>
    <x v="0"/>
    <x v="2"/>
    <x v="0"/>
    <x v="2"/>
    <n v="2150"/>
    <n v="73000"/>
    <n v="3650"/>
    <n v="182"/>
    <x v="1"/>
    <n v="27375"/>
    <n v="0.05"/>
    <n v="0.59"/>
    <n v="11.73"/>
  </r>
  <r>
    <x v="328"/>
    <x v="3"/>
    <x v="18"/>
    <x v="0"/>
    <x v="1"/>
    <x v="3"/>
    <x v="2"/>
    <n v="5900"/>
    <n v="62000"/>
    <n v="1860"/>
    <n v="93"/>
    <x v="1"/>
    <n v="23250"/>
    <n v="0.03"/>
    <n v="3.17"/>
    <n v="2.94"/>
  </r>
  <r>
    <x v="329"/>
    <x v="1"/>
    <x v="2"/>
    <x v="0"/>
    <x v="0"/>
    <x v="1"/>
    <x v="2"/>
    <n v="3550"/>
    <n v="108000"/>
    <n v="4320"/>
    <n v="216"/>
    <x v="1"/>
    <n v="32400"/>
    <n v="0.04"/>
    <n v="0.82"/>
    <n v="8.1300000000000008"/>
  </r>
  <r>
    <x v="330"/>
    <x v="0"/>
    <x v="19"/>
    <x v="2"/>
    <x v="7"/>
    <x v="0"/>
    <x v="2"/>
    <n v="2650"/>
    <n v="82000"/>
    <n v="4100"/>
    <n v="205"/>
    <x v="1"/>
    <n v="30750"/>
    <n v="0.05"/>
    <n v="0.65"/>
    <n v="10.6"/>
  </r>
  <r>
    <x v="331"/>
    <x v="0"/>
    <x v="15"/>
    <x v="2"/>
    <x v="2"/>
    <x v="2"/>
    <x v="1"/>
    <n v="3850"/>
    <n v="120000"/>
    <n v="4800"/>
    <n v="240"/>
    <x v="1"/>
    <n v="36000"/>
    <n v="0.04"/>
    <n v="0.8"/>
    <n v="8.35"/>
  </r>
  <r>
    <x v="332"/>
    <x v="0"/>
    <x v="10"/>
    <x v="1"/>
    <x v="2"/>
    <x v="0"/>
    <x v="1"/>
    <n v="2450"/>
    <n v="77000"/>
    <n v="3850"/>
    <n v="192"/>
    <x v="1"/>
    <n v="28875"/>
    <n v="0.05"/>
    <n v="0.64"/>
    <n v="10.79"/>
  </r>
  <r>
    <x v="333"/>
    <x v="1"/>
    <x v="12"/>
    <x v="0"/>
    <x v="2"/>
    <x v="3"/>
    <x v="1"/>
    <n v="5800"/>
    <n v="62000"/>
    <n v="1860"/>
    <n v="93"/>
    <x v="1"/>
    <n v="23250"/>
    <n v="0.03"/>
    <n v="3.12"/>
    <n v="3.01"/>
  </r>
  <r>
    <x v="334"/>
    <x v="2"/>
    <x v="8"/>
    <x v="1"/>
    <x v="5"/>
    <x v="1"/>
    <x v="1"/>
    <n v="3450"/>
    <n v="105000"/>
    <n v="4200"/>
    <n v="210"/>
    <x v="1"/>
    <n v="31500"/>
    <n v="0.04"/>
    <n v="0.82"/>
    <n v="8.1300000000000008"/>
  </r>
  <r>
    <x v="335"/>
    <x v="1"/>
    <x v="9"/>
    <x v="2"/>
    <x v="1"/>
    <x v="0"/>
    <x v="1"/>
    <n v="2250"/>
    <n v="74000"/>
    <n v="3700"/>
    <n v="185"/>
    <x v="1"/>
    <n v="27750"/>
    <n v="0.05"/>
    <n v="0.61"/>
    <n v="11.33"/>
  </r>
  <r>
    <x v="336"/>
    <x v="0"/>
    <x v="9"/>
    <x v="2"/>
    <x v="1"/>
    <x v="2"/>
    <x v="1"/>
    <n v="4050"/>
    <n v="125000"/>
    <n v="5000"/>
    <n v="250"/>
    <x v="1"/>
    <n v="37500"/>
    <n v="0.04"/>
    <n v="0.81"/>
    <n v="8.26"/>
  </r>
  <r>
    <x v="337"/>
    <x v="3"/>
    <x v="13"/>
    <x v="1"/>
    <x v="0"/>
    <x v="0"/>
    <x v="1"/>
    <n v="2750"/>
    <n v="85000"/>
    <n v="4250"/>
    <n v="212"/>
    <x v="1"/>
    <n v="31875"/>
    <n v="0.05"/>
    <n v="0.65"/>
    <n v="10.59"/>
  </r>
  <r>
    <x v="338"/>
    <x v="2"/>
    <x v="19"/>
    <x v="2"/>
    <x v="2"/>
    <x v="3"/>
    <x v="1"/>
    <n v="5600"/>
    <n v="60000"/>
    <n v="1800"/>
    <n v="90"/>
    <x v="1"/>
    <n v="22500"/>
    <n v="0.03"/>
    <n v="3.11"/>
    <n v="3.02"/>
  </r>
  <r>
    <x v="339"/>
    <x v="3"/>
    <x v="16"/>
    <x v="0"/>
    <x v="2"/>
    <x v="1"/>
    <x v="1"/>
    <n v="3350"/>
    <n v="102000"/>
    <n v="4080"/>
    <n v="204"/>
    <x v="1"/>
    <n v="30600"/>
    <n v="0.04"/>
    <n v="0.82"/>
    <n v="8.1300000000000008"/>
  </r>
  <r>
    <x v="340"/>
    <x v="2"/>
    <x v="18"/>
    <x v="0"/>
    <x v="6"/>
    <x v="0"/>
    <x v="1"/>
    <n v="2550"/>
    <n v="79000"/>
    <n v="3950"/>
    <n v="198"/>
    <x v="1"/>
    <n v="29625"/>
    <n v="0.05"/>
    <n v="0.65"/>
    <n v="10.62"/>
  </r>
  <r>
    <x v="341"/>
    <x v="3"/>
    <x v="10"/>
    <x v="1"/>
    <x v="1"/>
    <x v="2"/>
    <x v="1"/>
    <n v="4150"/>
    <n v="128000"/>
    <n v="5120"/>
    <n v="256"/>
    <x v="1"/>
    <n v="38400"/>
    <n v="0.04"/>
    <n v="0.81"/>
    <n v="8.25"/>
  </r>
  <r>
    <x v="342"/>
    <x v="1"/>
    <x v="14"/>
    <x v="0"/>
    <x v="2"/>
    <x v="0"/>
    <x v="1"/>
    <n v="2850"/>
    <n v="87000"/>
    <n v="4350"/>
    <n v="218"/>
    <x v="1"/>
    <n v="32625"/>
    <n v="0.05"/>
    <n v="0.66"/>
    <n v="10.45"/>
  </r>
  <r>
    <x v="343"/>
    <x v="0"/>
    <x v="0"/>
    <x v="0"/>
    <x v="6"/>
    <x v="3"/>
    <x v="3"/>
    <n v="6000"/>
    <n v="63000"/>
    <n v="1890"/>
    <n v="94"/>
    <x v="1"/>
    <n v="23625"/>
    <n v="0.03"/>
    <n v="3.17"/>
    <n v="2.94"/>
  </r>
  <r>
    <x v="344"/>
    <x v="3"/>
    <x v="6"/>
    <x v="0"/>
    <x v="8"/>
    <x v="1"/>
    <x v="3"/>
    <n v="3650"/>
    <n v="111000"/>
    <n v="4440"/>
    <n v="222"/>
    <x v="1"/>
    <n v="33300"/>
    <n v="0.04"/>
    <n v="0.82"/>
    <n v="8.1199999999999992"/>
  </r>
  <r>
    <x v="345"/>
    <x v="0"/>
    <x v="1"/>
    <x v="1"/>
    <x v="2"/>
    <x v="0"/>
    <x v="3"/>
    <n v="2950"/>
    <n v="89000"/>
    <n v="4450"/>
    <n v="222"/>
    <x v="1"/>
    <n v="33375"/>
    <n v="0.05"/>
    <n v="0.66"/>
    <n v="10.31"/>
  </r>
  <r>
    <x v="346"/>
    <x v="2"/>
    <x v="9"/>
    <x v="2"/>
    <x v="2"/>
    <x v="2"/>
    <x v="3"/>
    <n v="3950"/>
    <n v="123000"/>
    <n v="4920"/>
    <n v="246"/>
    <x v="1"/>
    <n v="36900"/>
    <n v="0.04"/>
    <n v="0.8"/>
    <n v="8.34"/>
  </r>
  <r>
    <x v="347"/>
    <x v="1"/>
    <x v="14"/>
    <x v="0"/>
    <x v="1"/>
    <x v="0"/>
    <x v="3"/>
    <n v="2650"/>
    <n v="82000"/>
    <n v="4100"/>
    <n v="205"/>
    <x v="1"/>
    <n v="30750"/>
    <n v="0.05"/>
    <n v="0.65"/>
    <n v="10.6"/>
  </r>
  <r>
    <x v="348"/>
    <x v="2"/>
    <x v="4"/>
    <x v="0"/>
    <x v="4"/>
    <x v="3"/>
    <x v="3"/>
    <n v="6200"/>
    <n v="65000"/>
    <n v="1950"/>
    <n v="98"/>
    <x v="1"/>
    <n v="24375"/>
    <n v="0.03"/>
    <n v="3.18"/>
    <n v="2.93"/>
  </r>
  <r>
    <x v="349"/>
    <x v="0"/>
    <x v="14"/>
    <x v="0"/>
    <x v="4"/>
    <x v="1"/>
    <x v="3"/>
    <n v="3750"/>
    <n v="114000"/>
    <n v="4560"/>
    <n v="228"/>
    <x v="1"/>
    <n v="34200"/>
    <n v="0.04"/>
    <n v="0.82"/>
    <n v="8.1199999999999992"/>
  </r>
  <r>
    <x v="350"/>
    <x v="0"/>
    <x v="19"/>
    <x v="2"/>
    <x v="0"/>
    <x v="0"/>
    <x v="3"/>
    <n v="3050"/>
    <n v="93000"/>
    <n v="4650"/>
    <n v="232"/>
    <x v="1"/>
    <n v="34875"/>
    <n v="0.05"/>
    <n v="0.66"/>
    <n v="10.43"/>
  </r>
  <r>
    <x v="351"/>
    <x v="1"/>
    <x v="1"/>
    <x v="1"/>
    <x v="7"/>
    <x v="2"/>
    <x v="3"/>
    <n v="4250"/>
    <n v="131000"/>
    <n v="5240"/>
    <n v="262"/>
    <x v="1"/>
    <n v="39300"/>
    <n v="0.04"/>
    <n v="0.81"/>
    <n v="8.25"/>
  </r>
  <r>
    <x v="352"/>
    <x v="2"/>
    <x v="19"/>
    <x v="2"/>
    <x v="0"/>
    <x v="0"/>
    <x v="3"/>
    <n v="2850"/>
    <n v="86000"/>
    <n v="4300"/>
    <n v="215"/>
    <x v="1"/>
    <n v="32250"/>
    <n v="0.05"/>
    <n v="0.66"/>
    <n v="10.32"/>
  </r>
  <r>
    <x v="353"/>
    <x v="3"/>
    <x v="13"/>
    <x v="1"/>
    <x v="4"/>
    <x v="3"/>
    <x v="3"/>
    <n v="6100"/>
    <n v="64000"/>
    <n v="1920"/>
    <n v="96"/>
    <x v="1"/>
    <n v="24000"/>
    <n v="0.03"/>
    <n v="3.18"/>
    <n v="2.93"/>
  </r>
  <r>
    <x v="354"/>
    <x v="2"/>
    <x v="13"/>
    <x v="1"/>
    <x v="6"/>
    <x v="1"/>
    <x v="3"/>
    <n v="3850"/>
    <n v="118000"/>
    <n v="4720"/>
    <n v="236"/>
    <x v="1"/>
    <n v="35400"/>
    <n v="0.04"/>
    <n v="0.82"/>
    <n v="8.19"/>
  </r>
  <r>
    <x v="355"/>
    <x v="0"/>
    <x v="11"/>
    <x v="2"/>
    <x v="2"/>
    <x v="0"/>
    <x v="3"/>
    <n v="2750"/>
    <n v="84000"/>
    <n v="4200"/>
    <n v="210"/>
    <x v="1"/>
    <n v="31500"/>
    <n v="0.05"/>
    <n v="0.65"/>
    <n v="10.45"/>
  </r>
  <r>
    <x v="356"/>
    <x v="1"/>
    <x v="4"/>
    <x v="0"/>
    <x v="10"/>
    <x v="2"/>
    <x v="3"/>
    <n v="4350"/>
    <n v="134000"/>
    <n v="5360"/>
    <n v="268"/>
    <x v="1"/>
    <n v="40200"/>
    <n v="0.04"/>
    <n v="0.81"/>
    <n v="8.24"/>
  </r>
  <r>
    <x v="357"/>
    <x v="3"/>
    <x v="7"/>
    <x v="2"/>
    <x v="2"/>
    <x v="0"/>
    <x v="0"/>
    <n v="1750"/>
    <n v="64000"/>
    <n v="3200"/>
    <n v="160"/>
    <x v="1"/>
    <n v="24000"/>
    <n v="0.05"/>
    <n v="0.55000000000000004"/>
    <n v="12.71"/>
  </r>
  <r>
    <x v="358"/>
    <x v="0"/>
    <x v="13"/>
    <x v="1"/>
    <x v="10"/>
    <x v="2"/>
    <x v="0"/>
    <n v="3150"/>
    <n v="98000"/>
    <n v="3920"/>
    <n v="196"/>
    <x v="1"/>
    <n v="29400"/>
    <n v="0.04"/>
    <n v="0.8"/>
    <n v="8.33"/>
  </r>
  <r>
    <x v="359"/>
    <x v="3"/>
    <x v="2"/>
    <x v="0"/>
    <x v="1"/>
    <x v="1"/>
    <x v="0"/>
    <n v="2550"/>
    <n v="80000"/>
    <n v="4000"/>
    <n v="200"/>
    <x v="1"/>
    <n v="30000"/>
    <n v="0.05"/>
    <n v="0.64"/>
    <n v="10.76"/>
  </r>
  <r>
    <x v="360"/>
    <x v="2"/>
    <x v="7"/>
    <x v="2"/>
    <x v="4"/>
    <x v="3"/>
    <x v="0"/>
    <n v="5200"/>
    <n v="56000"/>
    <n v="1680"/>
    <n v="84"/>
    <x v="1"/>
    <n v="21000"/>
    <n v="0.03"/>
    <n v="3.1"/>
    <n v="3.04"/>
  </r>
  <r>
    <x v="361"/>
    <x v="0"/>
    <x v="6"/>
    <x v="0"/>
    <x v="10"/>
    <x v="1"/>
    <x v="0"/>
    <n v="3250"/>
    <n v="100000"/>
    <n v="4000"/>
    <n v="200"/>
    <x v="1"/>
    <n v="30000"/>
    <n v="0.04"/>
    <n v="0.81"/>
    <n v="8.23"/>
  </r>
  <r>
    <x v="362"/>
    <x v="2"/>
    <x v="19"/>
    <x v="2"/>
    <x v="4"/>
    <x v="0"/>
    <x v="0"/>
    <n v="2050"/>
    <n v="71000"/>
    <n v="3550"/>
    <n v="178"/>
    <x v="1"/>
    <n v="26625"/>
    <n v="0.05"/>
    <n v="0.57999999999999996"/>
    <n v="11.99"/>
  </r>
  <r>
    <x v="363"/>
    <x v="3"/>
    <x v="9"/>
    <x v="2"/>
    <x v="6"/>
    <x v="2"/>
    <x v="0"/>
    <n v="3650"/>
    <n v="115000"/>
    <n v="4600"/>
    <n v="230"/>
    <x v="1"/>
    <n v="34500"/>
    <n v="0.04"/>
    <n v="0.79"/>
    <n v="8.4499999999999993"/>
  </r>
  <r>
    <x v="364"/>
    <x v="1"/>
    <x v="6"/>
    <x v="0"/>
    <x v="5"/>
    <x v="0"/>
    <x v="0"/>
    <n v="2250"/>
    <n v="74000"/>
    <n v="3700"/>
    <n v="185"/>
    <x v="1"/>
    <n v="27750"/>
    <n v="0.05"/>
    <n v="0.61"/>
    <n v="11.33"/>
  </r>
  <r>
    <x v="365"/>
    <x v="0"/>
    <x v="5"/>
    <x v="2"/>
    <x v="4"/>
    <x v="3"/>
    <x v="0"/>
    <n v="5700"/>
    <n v="61000"/>
    <n v="1830"/>
    <n v="92"/>
    <x v="1"/>
    <n v="22875"/>
    <n v="0.03"/>
    <n v="3.11"/>
    <n v="3.01"/>
  </r>
  <r>
    <x v="366"/>
    <x v="1"/>
    <x v="19"/>
    <x v="2"/>
    <x v="0"/>
    <x v="1"/>
    <x v="0"/>
    <n v="3050"/>
    <n v="95000"/>
    <n v="3800"/>
    <n v="190"/>
    <x v="1"/>
    <n v="28500"/>
    <n v="0.04"/>
    <n v="0.8"/>
    <n v="8.34"/>
  </r>
  <r>
    <x v="367"/>
    <x v="1"/>
    <x v="19"/>
    <x v="2"/>
    <x v="2"/>
    <x v="0"/>
    <x v="0"/>
    <n v="2350"/>
    <n v="76000"/>
    <n v="3800"/>
    <n v="190"/>
    <x v="1"/>
    <n v="28500"/>
    <n v="0.05"/>
    <n v="0.62"/>
    <n v="11.13"/>
  </r>
  <r>
    <x v="368"/>
    <x v="3"/>
    <x v="18"/>
    <x v="0"/>
    <x v="4"/>
    <x v="2"/>
    <x v="2"/>
    <n v="3850"/>
    <n v="121000"/>
    <n v="4840"/>
    <n v="242"/>
    <x v="1"/>
    <n v="36300"/>
    <n v="0.04"/>
    <n v="0.8"/>
    <n v="8.43"/>
  </r>
  <r>
    <x v="369"/>
    <x v="3"/>
    <x v="11"/>
    <x v="2"/>
    <x v="1"/>
    <x v="0"/>
    <x v="2"/>
    <n v="2650"/>
    <n v="81000"/>
    <n v="4050"/>
    <n v="202"/>
    <x v="1"/>
    <n v="30375"/>
    <n v="0.05"/>
    <n v="0.65"/>
    <n v="10.46"/>
  </r>
  <r>
    <x v="370"/>
    <x v="1"/>
    <x v="18"/>
    <x v="0"/>
    <x v="2"/>
    <x v="3"/>
    <x v="2"/>
    <n v="5900"/>
    <n v="62000"/>
    <n v="1860"/>
    <n v="93"/>
    <x v="1"/>
    <n v="23250"/>
    <n v="0.03"/>
    <n v="3.17"/>
    <n v="2.94"/>
  </r>
  <r>
    <x v="371"/>
    <x v="3"/>
    <x v="15"/>
    <x v="2"/>
    <x v="8"/>
    <x v="1"/>
    <x v="2"/>
    <n v="3350"/>
    <n v="103000"/>
    <n v="4120"/>
    <n v="206"/>
    <x v="1"/>
    <n v="30900"/>
    <n v="0.04"/>
    <n v="0.81"/>
    <n v="8.2200000000000006"/>
  </r>
  <r>
    <x v="372"/>
    <x v="1"/>
    <x v="9"/>
    <x v="2"/>
    <x v="1"/>
    <x v="0"/>
    <x v="2"/>
    <n v="2450"/>
    <n v="78000"/>
    <n v="3900"/>
    <n v="195"/>
    <x v="1"/>
    <n v="29250"/>
    <n v="0.05"/>
    <n v="0.63"/>
    <n v="10.94"/>
  </r>
  <r>
    <x v="373"/>
    <x v="0"/>
    <x v="6"/>
    <x v="0"/>
    <x v="2"/>
    <x v="2"/>
    <x v="2"/>
    <n v="4050"/>
    <n v="125000"/>
    <n v="5000"/>
    <n v="250"/>
    <x v="1"/>
    <n v="37500"/>
    <n v="0.04"/>
    <n v="0.81"/>
    <n v="8.26"/>
  </r>
  <r>
    <x v="374"/>
    <x v="1"/>
    <x v="10"/>
    <x v="1"/>
    <x v="4"/>
    <x v="0"/>
    <x v="2"/>
    <n v="2850"/>
    <n v="86000"/>
    <n v="4300"/>
    <n v="215"/>
    <x v="1"/>
    <n v="32250"/>
    <n v="0.05"/>
    <n v="0.66"/>
    <n v="10.32"/>
  </r>
  <r>
    <x v="375"/>
    <x v="3"/>
    <x v="19"/>
    <x v="2"/>
    <x v="6"/>
    <x v="3"/>
    <x v="2"/>
    <n v="5500"/>
    <n v="59000"/>
    <n v="1770"/>
    <n v="88"/>
    <x v="1"/>
    <n v="22125"/>
    <n v="0.03"/>
    <n v="3.11"/>
    <n v="3.02"/>
  </r>
  <r>
    <x v="376"/>
    <x v="3"/>
    <x v="10"/>
    <x v="1"/>
    <x v="4"/>
    <x v="1"/>
    <x v="2"/>
    <n v="3450"/>
    <n v="105000"/>
    <n v="4200"/>
    <n v="210"/>
    <x v="1"/>
    <n v="31500"/>
    <n v="0.04"/>
    <n v="0.82"/>
    <n v="8.1300000000000008"/>
  </r>
  <r>
    <x v="377"/>
    <x v="3"/>
    <x v="16"/>
    <x v="0"/>
    <x v="2"/>
    <x v="0"/>
    <x v="2"/>
    <n v="2550"/>
    <n v="79000"/>
    <n v="3950"/>
    <n v="198"/>
    <x v="1"/>
    <n v="29625"/>
    <n v="0.05"/>
    <n v="0.65"/>
    <n v="10.62"/>
  </r>
  <r>
    <x v="378"/>
    <x v="3"/>
    <x v="11"/>
    <x v="2"/>
    <x v="2"/>
    <x v="2"/>
    <x v="2"/>
    <n v="3750"/>
    <n v="118000"/>
    <n v="4720"/>
    <n v="236"/>
    <x v="1"/>
    <n v="35400"/>
    <n v="0.04"/>
    <n v="0.79"/>
    <n v="8.44"/>
  </r>
  <r>
    <x v="379"/>
    <x v="3"/>
    <x v="14"/>
    <x v="0"/>
    <x v="6"/>
    <x v="0"/>
    <x v="2"/>
    <n v="2250"/>
    <n v="75000"/>
    <n v="3750"/>
    <n v="188"/>
    <x v="1"/>
    <n v="28125"/>
    <n v="0.05"/>
    <n v="0.6"/>
    <n v="11.5"/>
  </r>
  <r>
    <x v="380"/>
    <x v="0"/>
    <x v="12"/>
    <x v="0"/>
    <x v="6"/>
    <x v="3"/>
    <x v="2"/>
    <n v="6100"/>
    <n v="64000"/>
    <n v="1920"/>
    <n v="96"/>
    <x v="1"/>
    <n v="24000"/>
    <n v="0.03"/>
    <n v="3.18"/>
    <n v="2.93"/>
  </r>
  <r>
    <x v="381"/>
    <x v="0"/>
    <x v="4"/>
    <x v="0"/>
    <x v="3"/>
    <x v="1"/>
    <x v="2"/>
    <n v="3650"/>
    <n v="111000"/>
    <n v="4440"/>
    <n v="222"/>
    <x v="1"/>
    <n v="33300"/>
    <n v="0.04"/>
    <n v="0.82"/>
    <n v="8.1199999999999992"/>
  </r>
  <r>
    <x v="382"/>
    <x v="2"/>
    <x v="11"/>
    <x v="2"/>
    <x v="4"/>
    <x v="0"/>
    <x v="2"/>
    <n v="2750"/>
    <n v="84000"/>
    <n v="4200"/>
    <n v="210"/>
    <x v="1"/>
    <n v="31500"/>
    <n v="0.05"/>
    <n v="0.65"/>
    <n v="10.45"/>
  </r>
  <r>
    <x v="383"/>
    <x v="3"/>
    <x v="8"/>
    <x v="1"/>
    <x v="1"/>
    <x v="2"/>
    <x v="1"/>
    <n v="3950"/>
    <n v="123000"/>
    <n v="4920"/>
    <n v="246"/>
    <x v="1"/>
    <n v="36900"/>
    <n v="0.04"/>
    <n v="0.8"/>
    <n v="8.34"/>
  </r>
  <r>
    <x v="384"/>
    <x v="3"/>
    <x v="7"/>
    <x v="2"/>
    <x v="11"/>
    <x v="0"/>
    <x v="1"/>
    <n v="2550"/>
    <n v="79000"/>
    <n v="3950"/>
    <n v="198"/>
    <x v="1"/>
    <n v="29625"/>
    <n v="0.05"/>
    <n v="0.65"/>
    <n v="10.62"/>
  </r>
  <r>
    <x v="385"/>
    <x v="1"/>
    <x v="18"/>
    <x v="0"/>
    <x v="2"/>
    <x v="3"/>
    <x v="1"/>
    <n v="6000"/>
    <n v="63000"/>
    <n v="1890"/>
    <n v="94"/>
    <x v="1"/>
    <n v="23625"/>
    <n v="0.03"/>
    <n v="3.17"/>
    <n v="2.94"/>
  </r>
  <r>
    <x v="386"/>
    <x v="0"/>
    <x v="11"/>
    <x v="2"/>
    <x v="1"/>
    <x v="1"/>
    <x v="1"/>
    <n v="3550"/>
    <n v="108000"/>
    <n v="4320"/>
    <n v="216"/>
    <x v="1"/>
    <n v="32400"/>
    <n v="0.04"/>
    <n v="0.82"/>
    <n v="8.1300000000000008"/>
  </r>
  <r>
    <x v="387"/>
    <x v="3"/>
    <x v="4"/>
    <x v="0"/>
    <x v="10"/>
    <x v="0"/>
    <x v="1"/>
    <n v="2350"/>
    <n v="76000"/>
    <n v="3800"/>
    <n v="190"/>
    <x v="1"/>
    <n v="28500"/>
    <n v="0.05"/>
    <n v="0.62"/>
    <n v="11.13"/>
  </r>
  <r>
    <x v="388"/>
    <x v="2"/>
    <x v="4"/>
    <x v="0"/>
    <x v="2"/>
    <x v="2"/>
    <x v="1"/>
    <n v="4150"/>
    <n v="128000"/>
    <n v="5120"/>
    <n v="256"/>
    <x v="1"/>
    <n v="38400"/>
    <n v="0.04"/>
    <n v="0.81"/>
    <n v="8.25"/>
  </r>
  <r>
    <x v="389"/>
    <x v="1"/>
    <x v="0"/>
    <x v="0"/>
    <x v="2"/>
    <x v="0"/>
    <x v="1"/>
    <n v="2850"/>
    <n v="86000"/>
    <n v="4300"/>
    <n v="215"/>
    <x v="1"/>
    <n v="32250"/>
    <n v="0.05"/>
    <n v="0.66"/>
    <n v="10.32"/>
  </r>
  <r>
    <x v="390"/>
    <x v="0"/>
    <x v="1"/>
    <x v="1"/>
    <x v="3"/>
    <x v="3"/>
    <x v="1"/>
    <n v="5800"/>
    <n v="62000"/>
    <n v="1860"/>
    <n v="93"/>
    <x v="1"/>
    <n v="23250"/>
    <n v="0.03"/>
    <n v="3.12"/>
    <n v="3.01"/>
  </r>
  <r>
    <x v="391"/>
    <x v="1"/>
    <x v="17"/>
    <x v="2"/>
    <x v="10"/>
    <x v="1"/>
    <x v="1"/>
    <n v="3450"/>
    <n v="105000"/>
    <n v="4200"/>
    <n v="210"/>
    <x v="1"/>
    <n v="31500"/>
    <n v="0.04"/>
    <n v="0.82"/>
    <n v="8.1300000000000008"/>
  </r>
  <r>
    <x v="392"/>
    <x v="3"/>
    <x v="15"/>
    <x v="2"/>
    <x v="2"/>
    <x v="0"/>
    <x v="1"/>
    <n v="2650"/>
    <n v="81000"/>
    <n v="4050"/>
    <n v="202"/>
    <x v="1"/>
    <n v="30375"/>
    <n v="0.05"/>
    <n v="0.65"/>
    <n v="10.46"/>
  </r>
  <r>
    <x v="393"/>
    <x v="1"/>
    <x v="2"/>
    <x v="0"/>
    <x v="2"/>
    <x v="2"/>
    <x v="3"/>
    <n v="4250"/>
    <n v="131000"/>
    <n v="5240"/>
    <n v="262"/>
    <x v="1"/>
    <n v="39300"/>
    <n v="0.04"/>
    <n v="0.81"/>
    <n v="8.25"/>
  </r>
  <r>
    <x v="394"/>
    <x v="3"/>
    <x v="11"/>
    <x v="2"/>
    <x v="1"/>
    <x v="0"/>
    <x v="3"/>
    <n v="2950"/>
    <n v="89000"/>
    <n v="4450"/>
    <n v="222"/>
    <x v="1"/>
    <n v="33375"/>
    <n v="0.05"/>
    <n v="0.66"/>
    <n v="10.31"/>
  </r>
  <r>
    <x v="395"/>
    <x v="3"/>
    <x v="0"/>
    <x v="0"/>
    <x v="2"/>
    <x v="3"/>
    <x v="3"/>
    <n v="6200"/>
    <n v="65000"/>
    <n v="1950"/>
    <n v="98"/>
    <x v="1"/>
    <n v="24375"/>
    <n v="0.03"/>
    <n v="3.18"/>
    <n v="2.93"/>
  </r>
  <r>
    <x v="396"/>
    <x v="3"/>
    <x v="15"/>
    <x v="2"/>
    <x v="8"/>
    <x v="1"/>
    <x v="3"/>
    <n v="3750"/>
    <n v="114000"/>
    <n v="4560"/>
    <n v="228"/>
    <x v="1"/>
    <n v="34200"/>
    <n v="0.04"/>
    <n v="0.82"/>
    <n v="8.1199999999999992"/>
  </r>
  <r>
    <x v="397"/>
    <x v="3"/>
    <x v="18"/>
    <x v="0"/>
    <x v="6"/>
    <x v="0"/>
    <x v="3"/>
    <n v="3050"/>
    <n v="93000"/>
    <n v="4650"/>
    <n v="232"/>
    <x v="1"/>
    <n v="34875"/>
    <n v="0.05"/>
    <n v="0.66"/>
    <n v="10.43"/>
  </r>
  <r>
    <x v="398"/>
    <x v="3"/>
    <x v="7"/>
    <x v="2"/>
    <x v="6"/>
    <x v="2"/>
    <x v="3"/>
    <n v="4050"/>
    <n v="126000"/>
    <n v="5040"/>
    <n v="252"/>
    <x v="1"/>
    <n v="37800"/>
    <n v="0.04"/>
    <n v="0.8"/>
    <n v="8.33"/>
  </r>
  <r>
    <x v="399"/>
    <x v="3"/>
    <x v="10"/>
    <x v="1"/>
    <x v="6"/>
    <x v="0"/>
    <x v="3"/>
    <n v="2750"/>
    <n v="84000"/>
    <n v="4200"/>
    <n v="210"/>
    <x v="1"/>
    <n v="31500"/>
    <n v="0.05"/>
    <n v="0.65"/>
    <n v="10.45"/>
  </r>
  <r>
    <x v="400"/>
    <x v="3"/>
    <x v="6"/>
    <x v="0"/>
    <x v="8"/>
    <x v="3"/>
    <x v="3"/>
    <n v="6300"/>
    <n v="66000"/>
    <n v="1980"/>
    <n v="99"/>
    <x v="1"/>
    <n v="24750"/>
    <n v="0.03"/>
    <n v="3.18"/>
    <n v="2.93"/>
  </r>
  <r>
    <x v="401"/>
    <x v="2"/>
    <x v="17"/>
    <x v="2"/>
    <x v="0"/>
    <x v="1"/>
    <x v="3"/>
    <n v="3850"/>
    <n v="118000"/>
    <n v="4720"/>
    <n v="236"/>
    <x v="1"/>
    <n v="35400"/>
    <n v="0.04"/>
    <n v="0.82"/>
    <n v="8.19"/>
  </r>
  <r>
    <x v="402"/>
    <x v="2"/>
    <x v="6"/>
    <x v="0"/>
    <x v="2"/>
    <x v="0"/>
    <x v="3"/>
    <n v="3150"/>
    <n v="96000"/>
    <n v="4800"/>
    <n v="240"/>
    <x v="1"/>
    <n v="36000"/>
    <n v="0.05"/>
    <n v="0.66"/>
    <n v="10.43"/>
  </r>
  <r>
    <x v="403"/>
    <x v="0"/>
    <x v="6"/>
    <x v="0"/>
    <x v="0"/>
    <x v="2"/>
    <x v="3"/>
    <n v="4350"/>
    <n v="134000"/>
    <n v="5360"/>
    <n v="268"/>
    <x v="1"/>
    <n v="40200"/>
    <n v="0.04"/>
    <n v="0.81"/>
    <n v="8.24"/>
  </r>
  <r>
    <x v="404"/>
    <x v="3"/>
    <x v="11"/>
    <x v="2"/>
    <x v="0"/>
    <x v="0"/>
    <x v="3"/>
    <n v="2950"/>
    <n v="89000"/>
    <n v="4450"/>
    <n v="222"/>
    <x v="1"/>
    <n v="33375"/>
    <n v="0.05"/>
    <n v="0.66"/>
    <n v="10.31"/>
  </r>
  <r>
    <x v="405"/>
    <x v="0"/>
    <x v="10"/>
    <x v="1"/>
    <x v="2"/>
    <x v="3"/>
    <x v="3"/>
    <n v="6300"/>
    <n v="66000"/>
    <n v="1980"/>
    <n v="99"/>
    <x v="1"/>
    <n v="24750"/>
    <n v="0.03"/>
    <n v="3.18"/>
    <n v="2.93"/>
  </r>
  <r>
    <x v="406"/>
    <x v="2"/>
    <x v="12"/>
    <x v="0"/>
    <x v="0"/>
    <x v="1"/>
    <x v="3"/>
    <n v="3950"/>
    <n v="121000"/>
    <n v="4840"/>
    <n v="242"/>
    <x v="1"/>
    <n v="36300"/>
    <n v="0.04"/>
    <n v="0.82"/>
    <n v="8.19"/>
  </r>
  <r>
    <x v="407"/>
    <x v="3"/>
    <x v="17"/>
    <x v="2"/>
    <x v="2"/>
    <x v="0"/>
    <x v="3"/>
    <n v="2850"/>
    <n v="86000"/>
    <n v="4300"/>
    <n v="215"/>
    <x v="1"/>
    <n v="32250"/>
    <n v="0.05"/>
    <n v="0.66"/>
    <n v="10.32"/>
  </r>
  <r>
    <x v="408"/>
    <x v="0"/>
    <x v="11"/>
    <x v="2"/>
    <x v="10"/>
    <x v="2"/>
    <x v="3"/>
    <n v="4450"/>
    <n v="137000"/>
    <n v="5480"/>
    <n v="274"/>
    <x v="1"/>
    <n v="41100"/>
    <n v="0.04"/>
    <n v="0.81"/>
    <n v="8.24"/>
  </r>
  <r>
    <x v="409"/>
    <x v="0"/>
    <x v="4"/>
    <x v="0"/>
    <x v="0"/>
    <x v="1"/>
    <x v="0"/>
    <n v="2850"/>
    <n v="87000"/>
    <n v="3480"/>
    <n v="174"/>
    <x v="1"/>
    <n v="26100"/>
    <n v="0.04"/>
    <n v="0.82"/>
    <n v="8.16"/>
  </r>
  <r>
    <x v="410"/>
    <x v="1"/>
    <x v="4"/>
    <x v="0"/>
    <x v="1"/>
    <x v="0"/>
    <x v="0"/>
    <n v="1750"/>
    <n v="64000"/>
    <n v="3200"/>
    <n v="160"/>
    <x v="1"/>
    <n v="24000"/>
    <n v="0.05"/>
    <n v="0.55000000000000004"/>
    <n v="12.71"/>
  </r>
  <r>
    <x v="411"/>
    <x v="0"/>
    <x v="1"/>
    <x v="1"/>
    <x v="7"/>
    <x v="2"/>
    <x v="0"/>
    <n v="3350"/>
    <n v="105000"/>
    <n v="4200"/>
    <n v="210"/>
    <x v="1"/>
    <n v="31500"/>
    <n v="0.04"/>
    <n v="0.8"/>
    <n v="8.4"/>
  </r>
  <r>
    <x v="412"/>
    <x v="1"/>
    <x v="0"/>
    <x v="0"/>
    <x v="7"/>
    <x v="3"/>
    <x v="0"/>
    <n v="5100"/>
    <n v="55000"/>
    <n v="1650"/>
    <n v="82"/>
    <x v="1"/>
    <n v="20625"/>
    <n v="0.03"/>
    <n v="3.09"/>
    <n v="3.04"/>
  </r>
  <r>
    <x v="413"/>
    <x v="1"/>
    <x v="2"/>
    <x v="0"/>
    <x v="10"/>
    <x v="0"/>
    <x v="0"/>
    <n v="2050"/>
    <n v="70000"/>
    <n v="3500"/>
    <n v="175"/>
    <x v="1"/>
    <n v="26250"/>
    <n v="0.05"/>
    <n v="0.59"/>
    <n v="11.8"/>
  </r>
  <r>
    <x v="414"/>
    <x v="1"/>
    <x v="13"/>
    <x v="1"/>
    <x v="0"/>
    <x v="1"/>
    <x v="0"/>
    <n v="3150"/>
    <n v="97000"/>
    <n v="3880"/>
    <n v="194"/>
    <x v="1"/>
    <n v="29100"/>
    <n v="0.04"/>
    <n v="0.81"/>
    <n v="8.24"/>
  </r>
  <r>
    <x v="415"/>
    <x v="1"/>
    <x v="7"/>
    <x v="2"/>
    <x v="2"/>
    <x v="0"/>
    <x v="0"/>
    <n v="2250"/>
    <n v="73000"/>
    <n v="3650"/>
    <n v="182"/>
    <x v="1"/>
    <n v="27375"/>
    <n v="0.05"/>
    <n v="0.62"/>
    <n v="11.17"/>
  </r>
  <r>
    <x v="416"/>
    <x v="3"/>
    <x v="4"/>
    <x v="0"/>
    <x v="1"/>
    <x v="2"/>
    <x v="0"/>
    <n v="3750"/>
    <n v="117000"/>
    <n v="4680"/>
    <n v="234"/>
    <x v="1"/>
    <n v="35100"/>
    <n v="0.04"/>
    <n v="0.8"/>
    <n v="8.36"/>
  </r>
  <r>
    <x v="417"/>
    <x v="0"/>
    <x v="8"/>
    <x v="1"/>
    <x v="0"/>
    <x v="3"/>
    <x v="0"/>
    <n v="5600"/>
    <n v="60000"/>
    <n v="1800"/>
    <n v="90"/>
    <x v="1"/>
    <n v="22500"/>
    <n v="0.03"/>
    <n v="3.11"/>
    <n v="3.02"/>
  </r>
  <r>
    <x v="418"/>
    <x v="1"/>
    <x v="19"/>
    <x v="2"/>
    <x v="11"/>
    <x v="0"/>
    <x v="0"/>
    <n v="2450"/>
    <n v="77000"/>
    <n v="3850"/>
    <n v="192"/>
    <x v="1"/>
    <n v="28875"/>
    <n v="0.05"/>
    <n v="0.64"/>
    <n v="10.79"/>
  </r>
  <r>
    <x v="419"/>
    <x v="2"/>
    <x v="18"/>
    <x v="0"/>
    <x v="6"/>
    <x v="1"/>
    <x v="0"/>
    <n v="3250"/>
    <n v="99000"/>
    <n v="3960"/>
    <n v="198"/>
    <x v="1"/>
    <n v="29700"/>
    <n v="0.04"/>
    <n v="0.82"/>
    <n v="8.14"/>
  </r>
  <r>
    <x v="420"/>
    <x v="0"/>
    <x v="10"/>
    <x v="1"/>
    <x v="4"/>
    <x v="0"/>
    <x v="2"/>
    <n v="2350"/>
    <n v="75000"/>
    <n v="3750"/>
    <n v="188"/>
    <x v="1"/>
    <n v="28125"/>
    <n v="0.05"/>
    <n v="0.63"/>
    <n v="10.97"/>
  </r>
  <r>
    <x v="421"/>
    <x v="1"/>
    <x v="4"/>
    <x v="0"/>
    <x v="2"/>
    <x v="2"/>
    <x v="2"/>
    <n v="3850"/>
    <n v="120000"/>
    <n v="4800"/>
    <n v="240"/>
    <x v="1"/>
    <n v="36000"/>
    <n v="0.04"/>
    <n v="0.8"/>
    <n v="8.35"/>
  </r>
  <r>
    <x v="422"/>
    <x v="1"/>
    <x v="15"/>
    <x v="2"/>
    <x v="2"/>
    <x v="3"/>
    <x v="2"/>
    <n v="5800"/>
    <n v="61000"/>
    <n v="1830"/>
    <n v="92"/>
    <x v="1"/>
    <n v="22875"/>
    <n v="0.03"/>
    <n v="3.17"/>
    <n v="2.94"/>
  </r>
  <r>
    <x v="423"/>
    <x v="0"/>
    <x v="7"/>
    <x v="2"/>
    <x v="2"/>
    <x v="0"/>
    <x v="2"/>
    <n v="2650"/>
    <n v="81000"/>
    <n v="4050"/>
    <n v="202"/>
    <x v="1"/>
    <n v="30375"/>
    <n v="0.05"/>
    <n v="0.65"/>
    <n v="10.46"/>
  </r>
  <r>
    <x v="424"/>
    <x v="3"/>
    <x v="3"/>
    <x v="1"/>
    <x v="1"/>
    <x v="1"/>
    <x v="2"/>
    <n v="3450"/>
    <n v="104000"/>
    <n v="4160"/>
    <n v="208"/>
    <x v="1"/>
    <n v="31200"/>
    <n v="0.04"/>
    <n v="0.83"/>
    <n v="8.0399999999999991"/>
  </r>
  <r>
    <x v="425"/>
    <x v="3"/>
    <x v="3"/>
    <x v="1"/>
    <x v="11"/>
    <x v="0"/>
    <x v="2"/>
    <n v="2550"/>
    <n v="78000"/>
    <n v="3900"/>
    <n v="195"/>
    <x v="1"/>
    <n v="29250"/>
    <n v="0.05"/>
    <n v="0.65"/>
    <n v="10.47"/>
  </r>
  <r>
    <x v="426"/>
    <x v="2"/>
    <x v="7"/>
    <x v="2"/>
    <x v="6"/>
    <x v="2"/>
    <x v="2"/>
    <n v="3950"/>
    <n v="122000"/>
    <n v="4880"/>
    <n v="244"/>
    <x v="1"/>
    <n v="36600"/>
    <n v="0.04"/>
    <n v="0.81"/>
    <n v="8.27"/>
  </r>
  <r>
    <x v="427"/>
    <x v="0"/>
    <x v="0"/>
    <x v="0"/>
    <x v="0"/>
    <x v="3"/>
    <x v="2"/>
    <n v="5400"/>
    <n v="58000"/>
    <n v="1740"/>
    <n v="87"/>
    <x v="1"/>
    <n v="21750"/>
    <n v="0.03"/>
    <n v="3.1"/>
    <n v="3.03"/>
  </r>
  <r>
    <x v="428"/>
    <x v="2"/>
    <x v="0"/>
    <x v="0"/>
    <x v="11"/>
    <x v="0"/>
    <x v="2"/>
    <n v="2750"/>
    <n v="84000"/>
    <n v="4200"/>
    <n v="210"/>
    <x v="1"/>
    <n v="31500"/>
    <n v="0.05"/>
    <n v="0.65"/>
    <n v="10.45"/>
  </r>
  <r>
    <x v="429"/>
    <x v="3"/>
    <x v="1"/>
    <x v="1"/>
    <x v="2"/>
    <x v="1"/>
    <x v="2"/>
    <n v="3550"/>
    <n v="107000"/>
    <n v="4280"/>
    <n v="214"/>
    <x v="1"/>
    <n v="32100"/>
    <n v="0.04"/>
    <n v="0.83"/>
    <n v="8.0399999999999991"/>
  </r>
  <r>
    <x v="430"/>
    <x v="3"/>
    <x v="11"/>
    <x v="2"/>
    <x v="8"/>
    <x v="0"/>
    <x v="2"/>
    <n v="2850"/>
    <n v="86000"/>
    <n v="4300"/>
    <n v="215"/>
    <x v="1"/>
    <n v="32250"/>
    <n v="0.05"/>
    <n v="0.66"/>
    <n v="10.32"/>
  </r>
  <r>
    <x v="431"/>
    <x v="2"/>
    <x v="18"/>
    <x v="0"/>
    <x v="2"/>
    <x v="2"/>
    <x v="2"/>
    <n v="4050"/>
    <n v="125000"/>
    <n v="5000"/>
    <n v="250"/>
    <x v="1"/>
    <n v="37500"/>
    <n v="0.04"/>
    <n v="0.81"/>
    <n v="8.26"/>
  </r>
  <r>
    <x v="432"/>
    <x v="3"/>
    <x v="17"/>
    <x v="2"/>
    <x v="0"/>
    <x v="3"/>
    <x v="2"/>
    <n v="5700"/>
    <n v="60000"/>
    <n v="1800"/>
    <n v="90"/>
    <x v="1"/>
    <n v="22500"/>
    <n v="0.03"/>
    <n v="3.17"/>
    <n v="2.95"/>
  </r>
  <r>
    <x v="433"/>
    <x v="0"/>
    <x v="17"/>
    <x v="2"/>
    <x v="2"/>
    <x v="0"/>
    <x v="2"/>
    <n v="2950"/>
    <n v="89000"/>
    <n v="4450"/>
    <n v="222"/>
    <x v="1"/>
    <n v="33375"/>
    <n v="0.05"/>
    <n v="0.66"/>
    <n v="10.31"/>
  </r>
  <r>
    <x v="434"/>
    <x v="3"/>
    <x v="11"/>
    <x v="2"/>
    <x v="0"/>
    <x v="1"/>
    <x v="1"/>
    <n v="3750"/>
    <n v="113000"/>
    <n v="4520"/>
    <n v="226"/>
    <x v="1"/>
    <n v="33900"/>
    <n v="0.04"/>
    <n v="0.83"/>
    <n v="8.0399999999999991"/>
  </r>
  <r>
    <x v="435"/>
    <x v="0"/>
    <x v="15"/>
    <x v="2"/>
    <x v="10"/>
    <x v="0"/>
    <x v="1"/>
    <n v="3050"/>
    <n v="92000"/>
    <n v="4600"/>
    <n v="230"/>
    <x v="1"/>
    <n v="34500"/>
    <n v="0.05"/>
    <n v="0.66"/>
    <n v="10.31"/>
  </r>
  <r>
    <x v="436"/>
    <x v="3"/>
    <x v="15"/>
    <x v="2"/>
    <x v="2"/>
    <x v="2"/>
    <x v="1"/>
    <n v="4250"/>
    <n v="131000"/>
    <n v="5240"/>
    <n v="262"/>
    <x v="1"/>
    <n v="39300"/>
    <n v="0.04"/>
    <n v="0.81"/>
    <n v="8.25"/>
  </r>
  <r>
    <x v="437"/>
    <x v="3"/>
    <x v="3"/>
    <x v="1"/>
    <x v="2"/>
    <x v="3"/>
    <x v="1"/>
    <n v="6000"/>
    <n v="63000"/>
    <n v="1890"/>
    <n v="94"/>
    <x v="1"/>
    <n v="23625"/>
    <n v="0.03"/>
    <n v="3.17"/>
    <n v="2.94"/>
  </r>
  <r>
    <x v="438"/>
    <x v="0"/>
    <x v="12"/>
    <x v="0"/>
    <x v="6"/>
    <x v="0"/>
    <x v="1"/>
    <n v="3150"/>
    <n v="95000"/>
    <n v="4750"/>
    <n v="238"/>
    <x v="1"/>
    <n v="35625"/>
    <n v="0.05"/>
    <n v="0.66"/>
    <n v="10.31"/>
  </r>
  <r>
    <x v="439"/>
    <x v="2"/>
    <x v="18"/>
    <x v="0"/>
    <x v="0"/>
    <x v="1"/>
    <x v="1"/>
    <n v="3850"/>
    <n v="117000"/>
    <n v="4680"/>
    <n v="234"/>
    <x v="1"/>
    <n v="35100"/>
    <n v="0.04"/>
    <n v="0.82"/>
    <n v="8.1199999999999992"/>
  </r>
  <r>
    <x v="440"/>
    <x v="1"/>
    <x v="19"/>
    <x v="2"/>
    <x v="11"/>
    <x v="0"/>
    <x v="1"/>
    <n v="3250"/>
    <n v="98000"/>
    <n v="4900"/>
    <n v="245"/>
    <x v="1"/>
    <n v="36750"/>
    <n v="0.05"/>
    <n v="0.66"/>
    <n v="10.31"/>
  </r>
  <r>
    <x v="441"/>
    <x v="3"/>
    <x v="16"/>
    <x v="0"/>
    <x v="2"/>
    <x v="2"/>
    <x v="1"/>
    <n v="4350"/>
    <n v="134000"/>
    <n v="5360"/>
    <n v="268"/>
    <x v="1"/>
    <n v="40200"/>
    <n v="0.04"/>
    <n v="0.81"/>
    <n v="8.24"/>
  </r>
  <r>
    <x v="442"/>
    <x v="3"/>
    <x v="14"/>
    <x v="0"/>
    <x v="2"/>
    <x v="3"/>
    <x v="1"/>
    <n v="5900"/>
    <n v="62000"/>
    <n v="1860"/>
    <n v="93"/>
    <x v="1"/>
    <n v="23250"/>
    <n v="0.03"/>
    <n v="3.17"/>
    <n v="2.94"/>
  </r>
  <r>
    <x v="443"/>
    <x v="2"/>
    <x v="19"/>
    <x v="2"/>
    <x v="0"/>
    <x v="0"/>
    <x v="1"/>
    <n v="3350"/>
    <n v="101000"/>
    <n v="5050"/>
    <n v="252"/>
    <x v="1"/>
    <n v="37875"/>
    <n v="0.05"/>
    <n v="0.66"/>
    <n v="10.31"/>
  </r>
  <r>
    <x v="444"/>
    <x v="3"/>
    <x v="11"/>
    <x v="2"/>
    <x v="0"/>
    <x v="1"/>
    <x v="1"/>
    <n v="3950"/>
    <n v="120000"/>
    <n v="4800"/>
    <n v="240"/>
    <x v="1"/>
    <n v="36000"/>
    <n v="0.04"/>
    <n v="0.82"/>
    <n v="8.11"/>
  </r>
  <r>
    <x v="445"/>
    <x v="2"/>
    <x v="1"/>
    <x v="1"/>
    <x v="10"/>
    <x v="0"/>
    <x v="1"/>
    <n v="3450"/>
    <n v="104000"/>
    <n v="5200"/>
    <n v="260"/>
    <x v="1"/>
    <n v="39000"/>
    <n v="0.05"/>
    <n v="0.66"/>
    <n v="10.3"/>
  </r>
  <r>
    <x v="446"/>
    <x v="2"/>
    <x v="2"/>
    <x v="0"/>
    <x v="1"/>
    <x v="2"/>
    <x v="3"/>
    <n v="4450"/>
    <n v="137000"/>
    <n v="5480"/>
    <n v="274"/>
    <x v="1"/>
    <n v="41100"/>
    <n v="0.04"/>
    <n v="0.81"/>
    <n v="8.24"/>
  </r>
  <r>
    <x v="447"/>
    <x v="0"/>
    <x v="8"/>
    <x v="1"/>
    <x v="10"/>
    <x v="3"/>
    <x v="3"/>
    <n v="6200"/>
    <n v="65000"/>
    <n v="1950"/>
    <n v="98"/>
    <x v="1"/>
    <n v="24375"/>
    <n v="0.03"/>
    <n v="3.18"/>
    <n v="2.93"/>
  </r>
  <r>
    <x v="448"/>
    <x v="3"/>
    <x v="9"/>
    <x v="2"/>
    <x v="0"/>
    <x v="0"/>
    <x v="3"/>
    <n v="3550"/>
    <n v="107000"/>
    <n v="5350"/>
    <n v="268"/>
    <x v="1"/>
    <n v="40125"/>
    <n v="0.05"/>
    <n v="0.66"/>
    <n v="10.3"/>
  </r>
  <r>
    <x v="449"/>
    <x v="0"/>
    <x v="2"/>
    <x v="0"/>
    <x v="6"/>
    <x v="1"/>
    <x v="3"/>
    <n v="4050"/>
    <n v="123000"/>
    <n v="4920"/>
    <n v="246"/>
    <x v="1"/>
    <n v="36900"/>
    <n v="0.04"/>
    <n v="0.82"/>
    <n v="8.11"/>
  </r>
  <r>
    <x v="450"/>
    <x v="1"/>
    <x v="17"/>
    <x v="2"/>
    <x v="10"/>
    <x v="0"/>
    <x v="3"/>
    <n v="3650"/>
    <n v="110000"/>
    <n v="5500"/>
    <n v="275"/>
    <x v="1"/>
    <n v="41250"/>
    <n v="0.05"/>
    <n v="0.66"/>
    <n v="10.3"/>
  </r>
  <r>
    <x v="451"/>
    <x v="3"/>
    <x v="9"/>
    <x v="2"/>
    <x v="5"/>
    <x v="2"/>
    <x v="3"/>
    <n v="4550"/>
    <n v="140000"/>
    <n v="5600"/>
    <n v="280"/>
    <x v="1"/>
    <n v="42000"/>
    <n v="0.04"/>
    <n v="0.81"/>
    <n v="8.23"/>
  </r>
  <r>
    <x v="452"/>
    <x v="0"/>
    <x v="4"/>
    <x v="0"/>
    <x v="1"/>
    <x v="3"/>
    <x v="3"/>
    <n v="6400"/>
    <n v="67000"/>
    <n v="2010"/>
    <n v="100"/>
    <x v="1"/>
    <n v="25125"/>
    <n v="0.03"/>
    <n v="3.18"/>
    <n v="2.93"/>
  </r>
  <r>
    <x v="453"/>
    <x v="3"/>
    <x v="14"/>
    <x v="0"/>
    <x v="10"/>
    <x v="0"/>
    <x v="3"/>
    <n v="3750"/>
    <n v="113000"/>
    <n v="5650"/>
    <n v="282"/>
    <x v="1"/>
    <n v="42375"/>
    <n v="0.05"/>
    <n v="0.66"/>
    <n v="10.3"/>
  </r>
  <r>
    <x v="454"/>
    <x v="0"/>
    <x v="14"/>
    <x v="0"/>
    <x v="9"/>
    <x v="1"/>
    <x v="3"/>
    <n v="4150"/>
    <n v="126000"/>
    <n v="5040"/>
    <n v="252"/>
    <x v="1"/>
    <n v="37800"/>
    <n v="0.04"/>
    <n v="0.82"/>
    <n v="8.11"/>
  </r>
  <r>
    <x v="455"/>
    <x v="2"/>
    <x v="5"/>
    <x v="2"/>
    <x v="2"/>
    <x v="0"/>
    <x v="3"/>
    <n v="3850"/>
    <n v="116000"/>
    <n v="5800"/>
    <n v="290"/>
    <x v="1"/>
    <n v="43500"/>
    <n v="0.05"/>
    <n v="0.66"/>
    <n v="10.3"/>
  </r>
  <r>
    <x v="456"/>
    <x v="2"/>
    <x v="0"/>
    <x v="0"/>
    <x v="2"/>
    <x v="2"/>
    <x v="3"/>
    <n v="4650"/>
    <n v="143000"/>
    <n v="5720"/>
    <n v="286"/>
    <x v="1"/>
    <n v="42900"/>
    <n v="0.04"/>
    <n v="0.81"/>
    <n v="8.23"/>
  </r>
  <r>
    <x v="457"/>
    <x v="0"/>
    <x v="6"/>
    <x v="0"/>
    <x v="0"/>
    <x v="3"/>
    <x v="3"/>
    <n v="6500"/>
    <n v="68000"/>
    <n v="2040"/>
    <n v="102"/>
    <x v="1"/>
    <n v="25500"/>
    <n v="0.03"/>
    <n v="3.19"/>
    <n v="2.92"/>
  </r>
  <r>
    <x v="458"/>
    <x v="3"/>
    <x v="8"/>
    <x v="1"/>
    <x v="7"/>
    <x v="0"/>
    <x v="3"/>
    <n v="3950"/>
    <n v="119000"/>
    <n v="5950"/>
    <n v="298"/>
    <x v="1"/>
    <n v="44625"/>
    <n v="0.05"/>
    <n v="0.66"/>
    <n v="10.3"/>
  </r>
  <r>
    <x v="459"/>
    <x v="0"/>
    <x v="17"/>
    <x v="2"/>
    <x v="1"/>
    <x v="1"/>
    <x v="3"/>
    <n v="4250"/>
    <n v="129000"/>
    <n v="5160"/>
    <n v="258"/>
    <x v="1"/>
    <n v="38700"/>
    <n v="0.04"/>
    <n v="0.82"/>
    <n v="8.11"/>
  </r>
  <r>
    <x v="460"/>
    <x v="1"/>
    <x v="13"/>
    <x v="1"/>
    <x v="1"/>
    <x v="0"/>
    <x v="3"/>
    <n v="4050"/>
    <n v="122000"/>
    <n v="6100"/>
    <n v="305"/>
    <x v="1"/>
    <n v="45750"/>
    <n v="0.05"/>
    <n v="0.66"/>
    <n v="10.3"/>
  </r>
  <r>
    <x v="461"/>
    <x v="1"/>
    <x v="7"/>
    <x v="2"/>
    <x v="1"/>
    <x v="2"/>
    <x v="0"/>
    <n v="4750"/>
    <n v="146000"/>
    <n v="5840"/>
    <n v="292"/>
    <x v="1"/>
    <n v="43800"/>
    <n v="0.04"/>
    <n v="0.81"/>
    <n v="8.2200000000000006"/>
  </r>
  <r>
    <x v="462"/>
    <x v="0"/>
    <x v="4"/>
    <x v="0"/>
    <x v="8"/>
    <x v="3"/>
    <x v="0"/>
    <n v="6600"/>
    <n v="69000"/>
    <n v="2070"/>
    <n v="104"/>
    <x v="1"/>
    <n v="25875"/>
    <n v="0.03"/>
    <n v="3.19"/>
    <n v="2.92"/>
  </r>
  <r>
    <x v="463"/>
    <x v="0"/>
    <x v="11"/>
    <x v="2"/>
    <x v="2"/>
    <x v="0"/>
    <x v="0"/>
    <n v="4150"/>
    <n v="125000"/>
    <n v="6250"/>
    <n v="312"/>
    <x v="1"/>
    <n v="46875"/>
    <n v="0.05"/>
    <n v="0.66"/>
    <n v="10.3"/>
  </r>
  <r>
    <x v="464"/>
    <x v="1"/>
    <x v="6"/>
    <x v="0"/>
    <x v="2"/>
    <x v="1"/>
    <x v="0"/>
    <n v="4350"/>
    <n v="132000"/>
    <n v="5280"/>
    <n v="264"/>
    <x v="1"/>
    <n v="39600"/>
    <n v="0.04"/>
    <n v="0.82"/>
    <n v="8.1"/>
  </r>
  <r>
    <x v="465"/>
    <x v="0"/>
    <x v="14"/>
    <x v="0"/>
    <x v="0"/>
    <x v="0"/>
    <x v="0"/>
    <n v="4250"/>
    <n v="128000"/>
    <n v="6400"/>
    <n v="320"/>
    <x v="1"/>
    <n v="48000"/>
    <n v="0.05"/>
    <n v="0.66"/>
    <n v="10.29"/>
  </r>
  <r>
    <x v="466"/>
    <x v="3"/>
    <x v="12"/>
    <x v="0"/>
    <x v="6"/>
    <x v="2"/>
    <x v="0"/>
    <n v="4850"/>
    <n v="149000"/>
    <n v="5960"/>
    <n v="298"/>
    <x v="1"/>
    <n v="44700"/>
    <n v="0.04"/>
    <n v="0.81"/>
    <n v="8.2200000000000006"/>
  </r>
  <r>
    <x v="467"/>
    <x v="3"/>
    <x v="18"/>
    <x v="0"/>
    <x v="6"/>
    <x v="3"/>
    <x v="0"/>
    <n v="6700"/>
    <n v="70000"/>
    <n v="2100"/>
    <n v="105"/>
    <x v="1"/>
    <n v="26250"/>
    <n v="0.03"/>
    <n v="3.19"/>
    <n v="2.92"/>
  </r>
  <r>
    <x v="468"/>
    <x v="0"/>
    <x v="3"/>
    <x v="1"/>
    <x v="9"/>
    <x v="0"/>
    <x v="0"/>
    <n v="4350"/>
    <n v="131000"/>
    <n v="6550"/>
    <n v="328"/>
    <x v="1"/>
    <n v="49125"/>
    <n v="0.05"/>
    <n v="0.66"/>
    <n v="10.29"/>
  </r>
  <r>
    <x v="469"/>
    <x v="3"/>
    <x v="7"/>
    <x v="2"/>
    <x v="10"/>
    <x v="1"/>
    <x v="0"/>
    <n v="4450"/>
    <n v="135000"/>
    <n v="5400"/>
    <n v="270"/>
    <x v="1"/>
    <n v="40500"/>
    <n v="0.04"/>
    <n v="0.82"/>
    <n v="8.1"/>
  </r>
  <r>
    <x v="470"/>
    <x v="3"/>
    <x v="5"/>
    <x v="2"/>
    <x v="1"/>
    <x v="0"/>
    <x v="0"/>
    <n v="4450"/>
    <n v="134000"/>
    <n v="6700"/>
    <n v="335"/>
    <x v="1"/>
    <n v="50250"/>
    <n v="0.05"/>
    <n v="0.66"/>
    <n v="10.29"/>
  </r>
  <r>
    <x v="471"/>
    <x v="3"/>
    <x v="17"/>
    <x v="2"/>
    <x v="2"/>
    <x v="2"/>
    <x v="2"/>
    <n v="4950"/>
    <n v="152000"/>
    <n v="6080"/>
    <n v="304"/>
    <x v="1"/>
    <n v="45600"/>
    <n v="0.04"/>
    <n v="0.81"/>
    <n v="8.2100000000000009"/>
  </r>
  <r>
    <x v="472"/>
    <x v="1"/>
    <x v="12"/>
    <x v="0"/>
    <x v="8"/>
    <x v="3"/>
    <x v="2"/>
    <n v="6800"/>
    <n v="71000"/>
    <n v="2130"/>
    <n v="106"/>
    <x v="1"/>
    <n v="26625"/>
    <n v="0.03"/>
    <n v="3.19"/>
    <n v="2.92"/>
  </r>
  <r>
    <x v="473"/>
    <x v="1"/>
    <x v="12"/>
    <x v="0"/>
    <x v="6"/>
    <x v="0"/>
    <x v="2"/>
    <n v="4550"/>
    <n v="137000"/>
    <n v="6850"/>
    <n v="342"/>
    <x v="1"/>
    <n v="51375"/>
    <n v="0.05"/>
    <n v="0.66"/>
    <n v="10.29"/>
  </r>
  <r>
    <x v="474"/>
    <x v="2"/>
    <x v="12"/>
    <x v="0"/>
    <x v="6"/>
    <x v="1"/>
    <x v="2"/>
    <n v="4550"/>
    <n v="138000"/>
    <n v="5520"/>
    <n v="276"/>
    <x v="1"/>
    <n v="41400"/>
    <n v="0.04"/>
    <n v="0.82"/>
    <n v="8.1"/>
  </r>
  <r>
    <x v="475"/>
    <x v="2"/>
    <x v="7"/>
    <x v="2"/>
    <x v="2"/>
    <x v="0"/>
    <x v="2"/>
    <n v="4650"/>
    <n v="140000"/>
    <n v="7000"/>
    <n v="350"/>
    <x v="1"/>
    <n v="52500"/>
    <n v="0.05"/>
    <n v="0.66"/>
    <n v="10.29"/>
  </r>
  <r>
    <x v="476"/>
    <x v="3"/>
    <x v="0"/>
    <x v="0"/>
    <x v="0"/>
    <x v="2"/>
    <x v="2"/>
    <n v="5050"/>
    <n v="155000"/>
    <n v="6200"/>
    <n v="310"/>
    <x v="1"/>
    <n v="46500"/>
    <n v="0.04"/>
    <n v="0.81"/>
    <n v="8.2100000000000009"/>
  </r>
  <r>
    <x v="477"/>
    <x v="3"/>
    <x v="11"/>
    <x v="2"/>
    <x v="2"/>
    <x v="3"/>
    <x v="2"/>
    <n v="6900"/>
    <n v="72000"/>
    <n v="2160"/>
    <n v="108"/>
    <x v="1"/>
    <n v="27000"/>
    <n v="0.03"/>
    <n v="3.19"/>
    <n v="2.91"/>
  </r>
  <r>
    <x v="478"/>
    <x v="0"/>
    <x v="6"/>
    <x v="0"/>
    <x v="2"/>
    <x v="0"/>
    <x v="2"/>
    <n v="4750"/>
    <n v="143000"/>
    <n v="7150"/>
    <n v="358"/>
    <x v="1"/>
    <n v="53625"/>
    <n v="0.05"/>
    <n v="0.66"/>
    <n v="10.29"/>
  </r>
  <r>
    <x v="479"/>
    <x v="3"/>
    <x v="15"/>
    <x v="2"/>
    <x v="10"/>
    <x v="1"/>
    <x v="2"/>
    <n v="4650"/>
    <n v="141000"/>
    <n v="5640"/>
    <n v="282"/>
    <x v="1"/>
    <n v="42300"/>
    <n v="0.04"/>
    <n v="0.82"/>
    <n v="8.1"/>
  </r>
  <r>
    <x v="480"/>
    <x v="0"/>
    <x v="2"/>
    <x v="0"/>
    <x v="1"/>
    <x v="0"/>
    <x v="2"/>
    <n v="4850"/>
    <n v="146000"/>
    <n v="7300"/>
    <n v="365"/>
    <x v="1"/>
    <n v="54750"/>
    <n v="0.05"/>
    <n v="0.66"/>
    <n v="10.29"/>
  </r>
  <r>
    <x v="481"/>
    <x v="0"/>
    <x v="7"/>
    <x v="2"/>
    <x v="0"/>
    <x v="2"/>
    <x v="2"/>
    <n v="5150"/>
    <n v="158000"/>
    <n v="6320"/>
    <n v="316"/>
    <x v="1"/>
    <n v="47400"/>
    <n v="0.04"/>
    <n v="0.81"/>
    <n v="8.1999999999999993"/>
  </r>
  <r>
    <x v="482"/>
    <x v="0"/>
    <x v="2"/>
    <x v="0"/>
    <x v="1"/>
    <x v="3"/>
    <x v="2"/>
    <n v="7000"/>
    <n v="73000"/>
    <n v="2190"/>
    <n v="110"/>
    <x v="1"/>
    <n v="27375"/>
    <n v="0.03"/>
    <n v="3.2"/>
    <n v="2.91"/>
  </r>
  <r>
    <x v="483"/>
    <x v="0"/>
    <x v="7"/>
    <x v="2"/>
    <x v="6"/>
    <x v="0"/>
    <x v="2"/>
    <n v="4950"/>
    <n v="149000"/>
    <n v="7450"/>
    <n v="372"/>
    <x v="1"/>
    <n v="55875"/>
    <n v="0.05"/>
    <n v="0.66"/>
    <n v="10.29"/>
  </r>
  <r>
    <x v="484"/>
    <x v="2"/>
    <x v="17"/>
    <x v="2"/>
    <x v="6"/>
    <x v="1"/>
    <x v="2"/>
    <n v="4750"/>
    <n v="144000"/>
    <n v="5760"/>
    <n v="288"/>
    <x v="1"/>
    <n v="43200"/>
    <n v="0.04"/>
    <n v="0.82"/>
    <n v="8.09"/>
  </r>
  <r>
    <x v="485"/>
    <x v="0"/>
    <x v="12"/>
    <x v="0"/>
    <x v="2"/>
    <x v="0"/>
    <x v="2"/>
    <n v="5050"/>
    <n v="152000"/>
    <n v="7600"/>
    <n v="380"/>
    <x v="1"/>
    <n v="57000"/>
    <n v="0.05"/>
    <n v="0.66"/>
    <n v="10.29"/>
  </r>
  <r>
    <x v="486"/>
    <x v="0"/>
    <x v="0"/>
    <x v="0"/>
    <x v="9"/>
    <x v="2"/>
    <x v="1"/>
    <n v="5250"/>
    <n v="161000"/>
    <n v="6440"/>
    <n v="322"/>
    <x v="1"/>
    <n v="48300"/>
    <n v="0.04"/>
    <n v="0.82"/>
    <n v="8.1999999999999993"/>
  </r>
  <r>
    <x v="487"/>
    <x v="0"/>
    <x v="10"/>
    <x v="1"/>
    <x v="2"/>
    <x v="3"/>
    <x v="1"/>
    <n v="7100"/>
    <n v="74000"/>
    <n v="2220"/>
    <n v="111"/>
    <x v="1"/>
    <n v="27750"/>
    <n v="0.03"/>
    <n v="3.2"/>
    <n v="2.91"/>
  </r>
  <r>
    <x v="488"/>
    <x v="3"/>
    <x v="19"/>
    <x v="2"/>
    <x v="4"/>
    <x v="0"/>
    <x v="1"/>
    <n v="5150"/>
    <n v="155000"/>
    <n v="7750"/>
    <n v="388"/>
    <x v="1"/>
    <n v="58125"/>
    <n v="0.05"/>
    <n v="0.66"/>
    <n v="10.29"/>
  </r>
  <r>
    <x v="489"/>
    <x v="1"/>
    <x v="12"/>
    <x v="0"/>
    <x v="3"/>
    <x v="1"/>
    <x v="1"/>
    <n v="4850"/>
    <n v="147000"/>
    <n v="5880"/>
    <n v="294"/>
    <x v="1"/>
    <n v="44100"/>
    <n v="0.04"/>
    <n v="0.82"/>
    <n v="8.09"/>
  </r>
  <r>
    <x v="490"/>
    <x v="3"/>
    <x v="11"/>
    <x v="2"/>
    <x v="2"/>
    <x v="0"/>
    <x v="1"/>
    <n v="5250"/>
    <n v="158000"/>
    <n v="7900"/>
    <n v="395"/>
    <x v="1"/>
    <n v="59250"/>
    <n v="0.05"/>
    <n v="0.66"/>
    <n v="10.29"/>
  </r>
  <r>
    <x v="491"/>
    <x v="1"/>
    <x v="5"/>
    <x v="2"/>
    <x v="10"/>
    <x v="2"/>
    <x v="1"/>
    <n v="5350"/>
    <n v="164000"/>
    <n v="6560"/>
    <n v="328"/>
    <x v="1"/>
    <n v="49200"/>
    <n v="0.04"/>
    <n v="0.82"/>
    <n v="8.1999999999999993"/>
  </r>
  <r>
    <x v="492"/>
    <x v="3"/>
    <x v="16"/>
    <x v="0"/>
    <x v="2"/>
    <x v="3"/>
    <x v="1"/>
    <n v="7200"/>
    <n v="75000"/>
    <n v="2250"/>
    <n v="112"/>
    <x v="1"/>
    <n v="28125"/>
    <n v="0.03"/>
    <n v="3.2"/>
    <n v="2.91"/>
  </r>
  <r>
    <x v="493"/>
    <x v="2"/>
    <x v="15"/>
    <x v="2"/>
    <x v="6"/>
    <x v="0"/>
    <x v="1"/>
    <n v="5350"/>
    <n v="161000"/>
    <n v="8050"/>
    <n v="402"/>
    <x v="1"/>
    <n v="60375"/>
    <n v="0.05"/>
    <n v="0.66"/>
    <n v="10.28"/>
  </r>
  <r>
    <x v="494"/>
    <x v="3"/>
    <x v="0"/>
    <x v="0"/>
    <x v="2"/>
    <x v="1"/>
    <x v="1"/>
    <n v="4950"/>
    <n v="150000"/>
    <n v="6000"/>
    <n v="300"/>
    <x v="1"/>
    <n v="45000"/>
    <n v="0.04"/>
    <n v="0.82"/>
    <n v="8.09"/>
  </r>
  <r>
    <x v="495"/>
    <x v="3"/>
    <x v="15"/>
    <x v="2"/>
    <x v="6"/>
    <x v="0"/>
    <x v="1"/>
    <n v="5450"/>
    <n v="164000"/>
    <n v="8200"/>
    <n v="410"/>
    <x v="1"/>
    <n v="61500"/>
    <n v="0.05"/>
    <n v="0.66"/>
    <n v="10.28"/>
  </r>
  <r>
    <x v="496"/>
    <x v="1"/>
    <x v="6"/>
    <x v="0"/>
    <x v="1"/>
    <x v="2"/>
    <x v="3"/>
    <n v="5450"/>
    <n v="167000"/>
    <n v="6680"/>
    <n v="334"/>
    <x v="1"/>
    <n v="50100"/>
    <n v="0.04"/>
    <n v="0.82"/>
    <n v="8.19"/>
  </r>
  <r>
    <x v="497"/>
    <x v="0"/>
    <x v="16"/>
    <x v="0"/>
    <x v="1"/>
    <x v="3"/>
    <x v="3"/>
    <n v="7300"/>
    <n v="76000"/>
    <n v="2280"/>
    <n v="114"/>
    <x v="1"/>
    <n v="28500"/>
    <n v="0.03"/>
    <n v="3.2"/>
    <n v="2.9"/>
  </r>
  <r>
    <x v="498"/>
    <x v="3"/>
    <x v="6"/>
    <x v="0"/>
    <x v="4"/>
    <x v="0"/>
    <x v="3"/>
    <n v="5550"/>
    <n v="167000"/>
    <n v="8350"/>
    <n v="418"/>
    <x v="1"/>
    <n v="62625"/>
    <n v="0.05"/>
    <n v="0.66"/>
    <n v="10.28"/>
  </r>
  <r>
    <x v="499"/>
    <x v="3"/>
    <x v="6"/>
    <x v="0"/>
    <x v="10"/>
    <x v="1"/>
    <x v="3"/>
    <n v="5050"/>
    <n v="153000"/>
    <n v="6120"/>
    <n v="306"/>
    <x v="1"/>
    <n v="45900"/>
    <n v="0.04"/>
    <n v="0.82"/>
    <n v="8.09"/>
  </r>
  <r>
    <x v="500"/>
    <x v="0"/>
    <x v="5"/>
    <x v="2"/>
    <x v="0"/>
    <x v="0"/>
    <x v="3"/>
    <n v="5650"/>
    <n v="170000"/>
    <n v="8500"/>
    <n v="425"/>
    <x v="1"/>
    <n v="63750"/>
    <n v="0.05"/>
    <n v="0.66"/>
    <n v="10.28"/>
  </r>
  <r>
    <x v="501"/>
    <x v="0"/>
    <x v="16"/>
    <x v="0"/>
    <x v="1"/>
    <x v="2"/>
    <x v="3"/>
    <n v="5550"/>
    <n v="170000"/>
    <n v="6800"/>
    <n v="340"/>
    <x v="1"/>
    <n v="51000"/>
    <n v="0.04"/>
    <n v="0.82"/>
    <n v="8.19"/>
  </r>
  <r>
    <x v="502"/>
    <x v="0"/>
    <x v="16"/>
    <x v="0"/>
    <x v="1"/>
    <x v="3"/>
    <x v="3"/>
    <n v="7400"/>
    <n v="77000"/>
    <n v="2310"/>
    <n v="116"/>
    <x v="1"/>
    <n v="28875"/>
    <n v="0.03"/>
    <n v="3.2"/>
    <n v="2.9"/>
  </r>
  <r>
    <x v="503"/>
    <x v="2"/>
    <x v="6"/>
    <x v="0"/>
    <x v="1"/>
    <x v="0"/>
    <x v="3"/>
    <n v="5750"/>
    <n v="173000"/>
    <n v="8650"/>
    <n v="432"/>
    <x v="1"/>
    <n v="64875"/>
    <n v="0.05"/>
    <n v="0.66"/>
    <n v="10.28"/>
  </r>
  <r>
    <x v="504"/>
    <x v="3"/>
    <x v="7"/>
    <x v="2"/>
    <x v="8"/>
    <x v="1"/>
    <x v="3"/>
    <n v="5150"/>
    <n v="156000"/>
    <n v="6240"/>
    <n v="312"/>
    <x v="1"/>
    <n v="46800"/>
    <n v="0.04"/>
    <n v="0.82"/>
    <n v="8.09"/>
  </r>
  <r>
    <x v="505"/>
    <x v="1"/>
    <x v="11"/>
    <x v="2"/>
    <x v="2"/>
    <x v="0"/>
    <x v="3"/>
    <n v="5850"/>
    <n v="176000"/>
    <n v="8800"/>
    <n v="440"/>
    <x v="1"/>
    <n v="66000"/>
    <n v="0.05"/>
    <n v="0.66"/>
    <n v="10.28"/>
  </r>
  <r>
    <x v="506"/>
    <x v="3"/>
    <x v="16"/>
    <x v="0"/>
    <x v="6"/>
    <x v="2"/>
    <x v="3"/>
    <n v="5650"/>
    <n v="173000"/>
    <n v="6920"/>
    <n v="346"/>
    <x v="1"/>
    <n v="51900"/>
    <n v="0.04"/>
    <n v="0.82"/>
    <n v="8.19"/>
  </r>
  <r>
    <x v="507"/>
    <x v="3"/>
    <x v="18"/>
    <x v="0"/>
    <x v="2"/>
    <x v="3"/>
    <x v="3"/>
    <n v="7500"/>
    <n v="78000"/>
    <n v="2340"/>
    <n v="117"/>
    <x v="1"/>
    <n v="29250"/>
    <n v="0.03"/>
    <n v="3.21"/>
    <n v="2.9"/>
  </r>
  <r>
    <x v="508"/>
    <x v="1"/>
    <x v="11"/>
    <x v="2"/>
    <x v="7"/>
    <x v="0"/>
    <x v="3"/>
    <n v="5950"/>
    <n v="179000"/>
    <n v="8950"/>
    <n v="448"/>
    <x v="1"/>
    <n v="67125"/>
    <n v="0.05"/>
    <n v="0.66"/>
    <n v="10.28"/>
  </r>
  <r>
    <x v="509"/>
    <x v="3"/>
    <x v="16"/>
    <x v="0"/>
    <x v="4"/>
    <x v="1"/>
    <x v="3"/>
    <n v="5250"/>
    <n v="159000"/>
    <n v="6360"/>
    <n v="318"/>
    <x v="1"/>
    <n v="47700"/>
    <n v="0.04"/>
    <n v="0.82"/>
    <n v="8.09"/>
  </r>
  <r>
    <x v="510"/>
    <x v="3"/>
    <x v="12"/>
    <x v="0"/>
    <x v="1"/>
    <x v="0"/>
    <x v="3"/>
    <n v="6050"/>
    <n v="182000"/>
    <n v="9100"/>
    <n v="455"/>
    <x v="1"/>
    <n v="68250"/>
    <n v="0.05"/>
    <n v="0.66"/>
    <n v="10.28"/>
  </r>
  <r>
    <x v="511"/>
    <x v="3"/>
    <x v="10"/>
    <x v="1"/>
    <x v="2"/>
    <x v="2"/>
    <x v="3"/>
    <n v="5750"/>
    <n v="176000"/>
    <n v="7040"/>
    <n v="352"/>
    <x v="1"/>
    <n v="52800"/>
    <n v="0.04"/>
    <n v="0.82"/>
    <n v="8.18"/>
  </r>
  <r>
    <x v="512"/>
    <x v="0"/>
    <x v="18"/>
    <x v="0"/>
    <x v="0"/>
    <x v="3"/>
    <x v="3"/>
    <n v="7600"/>
    <n v="79000"/>
    <n v="2370"/>
    <n v="118"/>
    <x v="1"/>
    <n v="29625"/>
    <n v="0.03"/>
    <n v="3.21"/>
    <n v="2.9"/>
  </r>
  <r>
    <x v="513"/>
    <x v="3"/>
    <x v="1"/>
    <x v="1"/>
    <x v="6"/>
    <x v="2"/>
    <x v="0"/>
    <n v="3450"/>
    <n v="108000"/>
    <n v="4320"/>
    <n v="216"/>
    <x v="1"/>
    <n v="32400"/>
    <n v="0.04"/>
    <n v="0.8"/>
    <n v="8.39"/>
  </r>
  <r>
    <x v="514"/>
    <x v="3"/>
    <x v="5"/>
    <x v="2"/>
    <x v="10"/>
    <x v="0"/>
    <x v="0"/>
    <n v="1850"/>
    <n v="66000"/>
    <n v="3300"/>
    <n v="165"/>
    <x v="1"/>
    <n v="24750"/>
    <n v="0.05"/>
    <n v="0.56000000000000005"/>
    <n v="12.38"/>
  </r>
  <r>
    <x v="515"/>
    <x v="3"/>
    <x v="18"/>
    <x v="0"/>
    <x v="3"/>
    <x v="1"/>
    <x v="0"/>
    <n v="2950"/>
    <n v="90000"/>
    <n v="3600"/>
    <n v="180"/>
    <x v="1"/>
    <n v="27000"/>
    <n v="0.04"/>
    <n v="0.82"/>
    <n v="8.15"/>
  </r>
  <r>
    <x v="516"/>
    <x v="3"/>
    <x v="6"/>
    <x v="0"/>
    <x v="2"/>
    <x v="3"/>
    <x v="0"/>
    <n v="5200"/>
    <n v="56000"/>
    <n v="1680"/>
    <n v="84"/>
    <x v="1"/>
    <n v="21000"/>
    <n v="0.03"/>
    <n v="3.1"/>
    <n v="3.04"/>
  </r>
  <r>
    <x v="517"/>
    <x v="3"/>
    <x v="12"/>
    <x v="0"/>
    <x v="1"/>
    <x v="0"/>
    <x v="0"/>
    <n v="2150"/>
    <n v="72000"/>
    <n v="3600"/>
    <n v="180"/>
    <x v="1"/>
    <n v="27000"/>
    <n v="0.05"/>
    <n v="0.6"/>
    <n v="11.56"/>
  </r>
  <r>
    <x v="518"/>
    <x v="3"/>
    <x v="16"/>
    <x v="0"/>
    <x v="6"/>
    <x v="2"/>
    <x v="0"/>
    <n v="3650"/>
    <n v="114000"/>
    <n v="4560"/>
    <n v="228"/>
    <x v="1"/>
    <n v="34200"/>
    <n v="0.04"/>
    <n v="0.8"/>
    <n v="8.3699999999999992"/>
  </r>
  <r>
    <x v="519"/>
    <x v="3"/>
    <x v="0"/>
    <x v="0"/>
    <x v="10"/>
    <x v="0"/>
    <x v="0"/>
    <n v="2350"/>
    <n v="75000"/>
    <n v="3750"/>
    <n v="188"/>
    <x v="1"/>
    <n v="28125"/>
    <n v="0.05"/>
    <n v="0.63"/>
    <n v="10.97"/>
  </r>
  <r>
    <x v="520"/>
    <x v="1"/>
    <x v="12"/>
    <x v="0"/>
    <x v="1"/>
    <x v="1"/>
    <x v="0"/>
    <n v="3050"/>
    <n v="93000"/>
    <n v="3720"/>
    <n v="186"/>
    <x v="1"/>
    <n v="27900"/>
    <n v="0.04"/>
    <n v="0.82"/>
    <n v="8.15"/>
  </r>
  <r>
    <x v="521"/>
    <x v="3"/>
    <x v="10"/>
    <x v="1"/>
    <x v="2"/>
    <x v="3"/>
    <x v="0"/>
    <n v="5700"/>
    <n v="61000"/>
    <n v="1830"/>
    <n v="92"/>
    <x v="1"/>
    <n v="22875"/>
    <n v="0.03"/>
    <n v="3.11"/>
    <n v="3.01"/>
  </r>
  <r>
    <x v="522"/>
    <x v="0"/>
    <x v="16"/>
    <x v="0"/>
    <x v="10"/>
    <x v="0"/>
    <x v="0"/>
    <n v="2550"/>
    <n v="78000"/>
    <n v="3900"/>
    <n v="195"/>
    <x v="1"/>
    <n v="29250"/>
    <n v="0.05"/>
    <n v="0.65"/>
    <n v="10.47"/>
  </r>
  <r>
    <x v="523"/>
    <x v="1"/>
    <x v="10"/>
    <x v="1"/>
    <x v="2"/>
    <x v="2"/>
    <x v="0"/>
    <n v="3950"/>
    <n v="122000"/>
    <n v="4880"/>
    <n v="244"/>
    <x v="1"/>
    <n v="36600"/>
    <n v="0.04"/>
    <n v="0.81"/>
    <n v="8.27"/>
  </r>
  <r>
    <x v="524"/>
    <x v="1"/>
    <x v="18"/>
    <x v="0"/>
    <x v="2"/>
    <x v="0"/>
    <x v="2"/>
    <n v="2750"/>
    <n v="83000"/>
    <n v="4150"/>
    <n v="208"/>
    <x v="1"/>
    <n v="31125"/>
    <n v="0.05"/>
    <n v="0.66"/>
    <n v="10.32"/>
  </r>
  <r>
    <x v="525"/>
    <x v="2"/>
    <x v="9"/>
    <x v="2"/>
    <x v="2"/>
    <x v="1"/>
    <x v="2"/>
    <n v="3350"/>
    <n v="101000"/>
    <n v="4040"/>
    <n v="202"/>
    <x v="1"/>
    <n v="30300"/>
    <n v="0.04"/>
    <n v="0.83"/>
    <n v="8.0399999999999991"/>
  </r>
  <r>
    <x v="526"/>
    <x v="0"/>
    <x v="8"/>
    <x v="1"/>
    <x v="7"/>
    <x v="3"/>
    <x v="2"/>
    <n v="5900"/>
    <n v="62000"/>
    <n v="1860"/>
    <n v="93"/>
    <x v="1"/>
    <n v="23250"/>
    <n v="0.03"/>
    <n v="3.17"/>
    <n v="2.94"/>
  </r>
  <r>
    <x v="527"/>
    <x v="3"/>
    <x v="18"/>
    <x v="0"/>
    <x v="2"/>
    <x v="0"/>
    <x v="2"/>
    <n v="2850"/>
    <n v="86000"/>
    <n v="4300"/>
    <n v="215"/>
    <x v="1"/>
    <n v="32250"/>
    <n v="0.05"/>
    <n v="0.66"/>
    <n v="10.32"/>
  </r>
  <r>
    <x v="528"/>
    <x v="2"/>
    <x v="16"/>
    <x v="0"/>
    <x v="1"/>
    <x v="2"/>
    <x v="2"/>
    <n v="4050"/>
    <n v="125000"/>
    <n v="5000"/>
    <n v="250"/>
    <x v="1"/>
    <n v="37500"/>
    <n v="0.04"/>
    <n v="0.81"/>
    <n v="8.26"/>
  </r>
  <r>
    <x v="529"/>
    <x v="0"/>
    <x v="13"/>
    <x v="1"/>
    <x v="7"/>
    <x v="0"/>
    <x v="2"/>
    <n v="2950"/>
    <n v="89000"/>
    <n v="4450"/>
    <n v="222"/>
    <x v="1"/>
    <n v="33375"/>
    <n v="0.05"/>
    <n v="0.66"/>
    <n v="10.31"/>
  </r>
  <r>
    <x v="530"/>
    <x v="2"/>
    <x v="19"/>
    <x v="2"/>
    <x v="8"/>
    <x v="1"/>
    <x v="2"/>
    <n v="3650"/>
    <n v="110000"/>
    <n v="4400"/>
    <n v="220"/>
    <x v="1"/>
    <n v="33000"/>
    <n v="0.04"/>
    <n v="0.83"/>
    <n v="8.0399999999999991"/>
  </r>
  <r>
    <x v="531"/>
    <x v="0"/>
    <x v="0"/>
    <x v="0"/>
    <x v="7"/>
    <x v="3"/>
    <x v="2"/>
    <n v="5500"/>
    <n v="59000"/>
    <n v="1770"/>
    <n v="88"/>
    <x v="1"/>
    <n v="22125"/>
    <n v="0.03"/>
    <n v="3.11"/>
    <n v="3.02"/>
  </r>
  <r>
    <x v="532"/>
    <x v="3"/>
    <x v="14"/>
    <x v="0"/>
    <x v="7"/>
    <x v="0"/>
    <x v="2"/>
    <n v="3050"/>
    <n v="92000"/>
    <n v="4600"/>
    <n v="230"/>
    <x v="1"/>
    <n v="34500"/>
    <n v="0.05"/>
    <n v="0.66"/>
    <n v="10.31"/>
  </r>
  <r>
    <x v="533"/>
    <x v="1"/>
    <x v="13"/>
    <x v="1"/>
    <x v="1"/>
    <x v="2"/>
    <x v="2"/>
    <n v="4150"/>
    <n v="128000"/>
    <n v="5120"/>
    <n v="256"/>
    <x v="1"/>
    <n v="38400"/>
    <n v="0.04"/>
    <n v="0.81"/>
    <n v="8.25"/>
  </r>
  <r>
    <x v="534"/>
    <x v="2"/>
    <x v="2"/>
    <x v="0"/>
    <x v="6"/>
    <x v="0"/>
    <x v="2"/>
    <n v="3150"/>
    <n v="95000"/>
    <n v="4750"/>
    <n v="238"/>
    <x v="1"/>
    <n v="35625"/>
    <n v="0.05"/>
    <n v="0.66"/>
    <n v="10.31"/>
  </r>
  <r>
    <x v="535"/>
    <x v="3"/>
    <x v="0"/>
    <x v="0"/>
    <x v="3"/>
    <x v="1"/>
    <x v="2"/>
    <n v="3750"/>
    <n v="113000"/>
    <n v="4520"/>
    <n v="226"/>
    <x v="1"/>
    <n v="33900"/>
    <n v="0.04"/>
    <n v="0.83"/>
    <n v="8.0399999999999991"/>
  </r>
  <r>
    <x v="536"/>
    <x v="3"/>
    <x v="19"/>
    <x v="2"/>
    <x v="2"/>
    <x v="3"/>
    <x v="2"/>
    <n v="6000"/>
    <n v="63000"/>
    <n v="1890"/>
    <n v="94"/>
    <x v="1"/>
    <n v="23625"/>
    <n v="0.03"/>
    <n v="3.17"/>
    <n v="2.94"/>
  </r>
  <r>
    <x v="537"/>
    <x v="2"/>
    <x v="6"/>
    <x v="0"/>
    <x v="9"/>
    <x v="0"/>
    <x v="2"/>
    <n v="3250"/>
    <n v="98000"/>
    <n v="4900"/>
    <n v="245"/>
    <x v="1"/>
    <n v="36750"/>
    <n v="0.05"/>
    <n v="0.66"/>
    <n v="10.31"/>
  </r>
  <r>
    <x v="538"/>
    <x v="1"/>
    <x v="15"/>
    <x v="2"/>
    <x v="2"/>
    <x v="2"/>
    <x v="1"/>
    <n v="4250"/>
    <n v="131000"/>
    <n v="5240"/>
    <n v="262"/>
    <x v="1"/>
    <n v="39300"/>
    <n v="0.04"/>
    <n v="0.81"/>
    <n v="8.25"/>
  </r>
  <r>
    <x v="539"/>
    <x v="3"/>
    <x v="5"/>
    <x v="2"/>
    <x v="2"/>
    <x v="0"/>
    <x v="1"/>
    <n v="3350"/>
    <n v="101000"/>
    <n v="5050"/>
    <n v="252"/>
    <x v="1"/>
    <n v="37875"/>
    <n v="0.05"/>
    <n v="0.66"/>
    <n v="10.31"/>
  </r>
  <r>
    <x v="540"/>
    <x v="1"/>
    <x v="4"/>
    <x v="0"/>
    <x v="1"/>
    <x v="1"/>
    <x v="1"/>
    <n v="3850"/>
    <n v="117000"/>
    <n v="4680"/>
    <n v="234"/>
    <x v="1"/>
    <n v="35100"/>
    <n v="0.04"/>
    <n v="0.82"/>
    <n v="8.1199999999999992"/>
  </r>
  <r>
    <x v="541"/>
    <x v="3"/>
    <x v="16"/>
    <x v="0"/>
    <x v="5"/>
    <x v="3"/>
    <x v="1"/>
    <n v="6100"/>
    <n v="64000"/>
    <n v="1920"/>
    <n v="96"/>
    <x v="1"/>
    <n v="24000"/>
    <n v="0.03"/>
    <n v="3.18"/>
    <n v="2.93"/>
  </r>
  <r>
    <x v="542"/>
    <x v="3"/>
    <x v="1"/>
    <x v="1"/>
    <x v="7"/>
    <x v="0"/>
    <x v="1"/>
    <n v="3450"/>
    <n v="104000"/>
    <n v="5200"/>
    <n v="260"/>
    <x v="1"/>
    <n v="39000"/>
    <n v="0.05"/>
    <n v="0.66"/>
    <n v="10.3"/>
  </r>
  <r>
    <x v="543"/>
    <x v="3"/>
    <x v="17"/>
    <x v="2"/>
    <x v="2"/>
    <x v="2"/>
    <x v="1"/>
    <n v="4350"/>
    <n v="134000"/>
    <n v="5360"/>
    <n v="268"/>
    <x v="1"/>
    <n v="40200"/>
    <n v="0.04"/>
    <n v="0.81"/>
    <n v="8.24"/>
  </r>
  <r>
    <x v="544"/>
    <x v="2"/>
    <x v="2"/>
    <x v="0"/>
    <x v="2"/>
    <x v="0"/>
    <x v="1"/>
    <n v="3550"/>
    <n v="107000"/>
    <n v="5350"/>
    <n v="268"/>
    <x v="1"/>
    <n v="40125"/>
    <n v="0.05"/>
    <n v="0.66"/>
    <n v="10.3"/>
  </r>
  <r>
    <x v="545"/>
    <x v="0"/>
    <x v="3"/>
    <x v="1"/>
    <x v="0"/>
    <x v="1"/>
    <x v="1"/>
    <n v="3950"/>
    <n v="120000"/>
    <n v="4800"/>
    <n v="240"/>
    <x v="1"/>
    <n v="36000"/>
    <n v="0.04"/>
    <n v="0.82"/>
    <n v="8.11"/>
  </r>
  <r>
    <x v="546"/>
    <x v="0"/>
    <x v="3"/>
    <x v="1"/>
    <x v="1"/>
    <x v="3"/>
    <x v="1"/>
    <n v="6200"/>
    <n v="65000"/>
    <n v="1950"/>
    <n v="98"/>
    <x v="1"/>
    <n v="24375"/>
    <n v="0.03"/>
    <n v="3.18"/>
    <n v="2.93"/>
  </r>
  <r>
    <x v="547"/>
    <x v="1"/>
    <x v="12"/>
    <x v="0"/>
    <x v="7"/>
    <x v="0"/>
    <x v="1"/>
    <n v="3650"/>
    <n v="110000"/>
    <n v="5500"/>
    <n v="275"/>
    <x v="1"/>
    <n v="41250"/>
    <n v="0.05"/>
    <n v="0.66"/>
    <n v="10.3"/>
  </r>
  <r>
    <x v="548"/>
    <x v="1"/>
    <x v="2"/>
    <x v="0"/>
    <x v="1"/>
    <x v="2"/>
    <x v="1"/>
    <n v="4450"/>
    <n v="137000"/>
    <n v="5480"/>
    <n v="274"/>
    <x v="1"/>
    <n v="41100"/>
    <n v="0.04"/>
    <n v="0.81"/>
    <n v="8.24"/>
  </r>
  <r>
    <x v="549"/>
    <x v="1"/>
    <x v="13"/>
    <x v="1"/>
    <x v="4"/>
    <x v="0"/>
    <x v="1"/>
    <n v="3750"/>
    <n v="113000"/>
    <n v="5650"/>
    <n v="282"/>
    <x v="1"/>
    <n v="42375"/>
    <n v="0.05"/>
    <n v="0.66"/>
    <n v="10.3"/>
  </r>
  <r>
    <x v="550"/>
    <x v="1"/>
    <x v="1"/>
    <x v="1"/>
    <x v="1"/>
    <x v="1"/>
    <x v="3"/>
    <n v="4050"/>
    <n v="123000"/>
    <n v="4920"/>
    <n v="246"/>
    <x v="1"/>
    <n v="36900"/>
    <n v="0.04"/>
    <n v="0.82"/>
    <n v="8.11"/>
  </r>
  <r>
    <x v="551"/>
    <x v="2"/>
    <x v="8"/>
    <x v="1"/>
    <x v="6"/>
    <x v="3"/>
    <x v="3"/>
    <n v="6300"/>
    <n v="66000"/>
    <n v="1980"/>
    <n v="99"/>
    <x v="1"/>
    <n v="24750"/>
    <n v="0.03"/>
    <n v="3.18"/>
    <n v="2.93"/>
  </r>
  <r>
    <x v="552"/>
    <x v="3"/>
    <x v="9"/>
    <x v="2"/>
    <x v="10"/>
    <x v="0"/>
    <x v="3"/>
    <n v="3850"/>
    <n v="116000"/>
    <n v="5800"/>
    <n v="290"/>
    <x v="1"/>
    <n v="43500"/>
    <n v="0.05"/>
    <n v="0.66"/>
    <n v="10.3"/>
  </r>
  <r>
    <x v="553"/>
    <x v="3"/>
    <x v="17"/>
    <x v="2"/>
    <x v="10"/>
    <x v="2"/>
    <x v="3"/>
    <n v="4550"/>
    <n v="140000"/>
    <n v="5600"/>
    <n v="280"/>
    <x v="1"/>
    <n v="42000"/>
    <n v="0.04"/>
    <n v="0.81"/>
    <n v="8.23"/>
  </r>
  <r>
    <x v="554"/>
    <x v="2"/>
    <x v="18"/>
    <x v="0"/>
    <x v="10"/>
    <x v="0"/>
    <x v="3"/>
    <n v="3950"/>
    <n v="119000"/>
    <n v="5950"/>
    <n v="298"/>
    <x v="1"/>
    <n v="44625"/>
    <n v="0.05"/>
    <n v="0.66"/>
    <n v="10.3"/>
  </r>
  <r>
    <x v="555"/>
    <x v="3"/>
    <x v="9"/>
    <x v="2"/>
    <x v="1"/>
    <x v="1"/>
    <x v="3"/>
    <n v="4150"/>
    <n v="126000"/>
    <n v="5040"/>
    <n v="252"/>
    <x v="1"/>
    <n v="37800"/>
    <n v="0.04"/>
    <n v="0.82"/>
    <n v="8.11"/>
  </r>
  <r>
    <x v="556"/>
    <x v="2"/>
    <x v="16"/>
    <x v="0"/>
    <x v="4"/>
    <x v="3"/>
    <x v="3"/>
    <n v="6400"/>
    <n v="67000"/>
    <n v="2010"/>
    <n v="100"/>
    <x v="1"/>
    <n v="25125"/>
    <n v="0.03"/>
    <n v="3.18"/>
    <n v="2.93"/>
  </r>
  <r>
    <x v="557"/>
    <x v="0"/>
    <x v="6"/>
    <x v="0"/>
    <x v="6"/>
    <x v="0"/>
    <x v="3"/>
    <n v="4050"/>
    <n v="122000"/>
    <n v="6100"/>
    <n v="305"/>
    <x v="1"/>
    <n v="45750"/>
    <n v="0.05"/>
    <n v="0.66"/>
    <n v="10.3"/>
  </r>
  <r>
    <x v="558"/>
    <x v="2"/>
    <x v="10"/>
    <x v="1"/>
    <x v="6"/>
    <x v="2"/>
    <x v="3"/>
    <n v="4650"/>
    <n v="143000"/>
    <n v="5720"/>
    <n v="286"/>
    <x v="1"/>
    <n v="42900"/>
    <n v="0.04"/>
    <n v="0.81"/>
    <n v="8.23"/>
  </r>
  <r>
    <x v="559"/>
    <x v="0"/>
    <x v="13"/>
    <x v="1"/>
    <x v="4"/>
    <x v="0"/>
    <x v="3"/>
    <n v="4250"/>
    <n v="128000"/>
    <n v="6400"/>
    <n v="320"/>
    <x v="1"/>
    <n v="48000"/>
    <n v="0.05"/>
    <n v="0.66"/>
    <n v="10.29"/>
  </r>
  <r>
    <x v="560"/>
    <x v="1"/>
    <x v="12"/>
    <x v="0"/>
    <x v="1"/>
    <x v="1"/>
    <x v="3"/>
    <n v="4250"/>
    <n v="129000"/>
    <n v="5160"/>
    <n v="258"/>
    <x v="1"/>
    <n v="38700"/>
    <n v="0.04"/>
    <n v="0.82"/>
    <n v="8.11"/>
  </r>
  <r>
    <x v="561"/>
    <x v="1"/>
    <x v="17"/>
    <x v="2"/>
    <x v="0"/>
    <x v="3"/>
    <x v="3"/>
    <n v="6500"/>
    <n v="68000"/>
    <n v="2040"/>
    <n v="102"/>
    <x v="1"/>
    <n v="25500"/>
    <n v="0.03"/>
    <n v="3.19"/>
    <n v="2.92"/>
  </r>
  <r>
    <x v="562"/>
    <x v="0"/>
    <x v="2"/>
    <x v="0"/>
    <x v="1"/>
    <x v="0"/>
    <x v="3"/>
    <n v="4350"/>
    <n v="131000"/>
    <n v="6550"/>
    <n v="328"/>
    <x v="1"/>
    <n v="49125"/>
    <n v="0.05"/>
    <n v="0.66"/>
    <n v="10.29"/>
  </r>
  <r>
    <x v="563"/>
    <x v="0"/>
    <x v="19"/>
    <x v="2"/>
    <x v="1"/>
    <x v="2"/>
    <x v="3"/>
    <n v="4750"/>
    <n v="146000"/>
    <n v="5840"/>
    <n v="292"/>
    <x v="1"/>
    <n v="43800"/>
    <n v="0.04"/>
    <n v="0.81"/>
    <n v="8.2200000000000006"/>
  </r>
  <r>
    <x v="564"/>
    <x v="0"/>
    <x v="4"/>
    <x v="0"/>
    <x v="10"/>
    <x v="0"/>
    <x v="3"/>
    <n v="4450"/>
    <n v="134000"/>
    <n v="6700"/>
    <n v="335"/>
    <x v="1"/>
    <n v="50250"/>
    <n v="0.05"/>
    <n v="0.66"/>
    <n v="10.29"/>
  </r>
  <r>
    <x v="565"/>
    <x v="3"/>
    <x v="11"/>
    <x v="2"/>
    <x v="2"/>
    <x v="1"/>
    <x v="0"/>
    <n v="4350"/>
    <n v="132000"/>
    <n v="5280"/>
    <n v="264"/>
    <x v="1"/>
    <n v="39600"/>
    <n v="0.04"/>
    <n v="0.82"/>
    <n v="8.1"/>
  </r>
  <r>
    <x v="566"/>
    <x v="3"/>
    <x v="11"/>
    <x v="2"/>
    <x v="10"/>
    <x v="3"/>
    <x v="0"/>
    <n v="6600"/>
    <n v="69000"/>
    <n v="2070"/>
    <n v="104"/>
    <x v="1"/>
    <n v="25875"/>
    <n v="0.03"/>
    <n v="3.19"/>
    <n v="2.92"/>
  </r>
  <r>
    <x v="567"/>
    <x v="0"/>
    <x v="8"/>
    <x v="1"/>
    <x v="11"/>
    <x v="0"/>
    <x v="0"/>
    <n v="4550"/>
    <n v="137000"/>
    <n v="6850"/>
    <n v="342"/>
    <x v="1"/>
    <n v="51375"/>
    <n v="0.05"/>
    <n v="0.66"/>
    <n v="10.29"/>
  </r>
  <r>
    <x v="568"/>
    <x v="1"/>
    <x v="9"/>
    <x v="2"/>
    <x v="0"/>
    <x v="2"/>
    <x v="0"/>
    <n v="4850"/>
    <n v="149000"/>
    <n v="5960"/>
    <n v="298"/>
    <x v="1"/>
    <n v="44700"/>
    <n v="0.04"/>
    <n v="0.81"/>
    <n v="8.2200000000000006"/>
  </r>
  <r>
    <x v="569"/>
    <x v="3"/>
    <x v="19"/>
    <x v="2"/>
    <x v="1"/>
    <x v="0"/>
    <x v="0"/>
    <n v="4650"/>
    <n v="140000"/>
    <n v="7000"/>
    <n v="350"/>
    <x v="1"/>
    <n v="52500"/>
    <n v="0.05"/>
    <n v="0.66"/>
    <n v="10.29"/>
  </r>
  <r>
    <x v="570"/>
    <x v="1"/>
    <x v="15"/>
    <x v="2"/>
    <x v="1"/>
    <x v="1"/>
    <x v="0"/>
    <n v="4450"/>
    <n v="135000"/>
    <n v="5400"/>
    <n v="270"/>
    <x v="1"/>
    <n v="40500"/>
    <n v="0.04"/>
    <n v="0.82"/>
    <n v="8.1"/>
  </r>
  <r>
    <x v="571"/>
    <x v="1"/>
    <x v="17"/>
    <x v="2"/>
    <x v="2"/>
    <x v="3"/>
    <x v="0"/>
    <n v="6700"/>
    <n v="70000"/>
    <n v="2100"/>
    <n v="105"/>
    <x v="1"/>
    <n v="26250"/>
    <n v="0.03"/>
    <n v="3.19"/>
    <n v="2.92"/>
  </r>
  <r>
    <x v="572"/>
    <x v="3"/>
    <x v="7"/>
    <x v="2"/>
    <x v="1"/>
    <x v="0"/>
    <x v="0"/>
    <n v="4750"/>
    <n v="143000"/>
    <n v="7150"/>
    <n v="358"/>
    <x v="1"/>
    <n v="53625"/>
    <n v="0.05"/>
    <n v="0.66"/>
    <n v="10.29"/>
  </r>
  <r>
    <x v="573"/>
    <x v="0"/>
    <x v="17"/>
    <x v="2"/>
    <x v="1"/>
    <x v="2"/>
    <x v="0"/>
    <n v="4950"/>
    <n v="152000"/>
    <n v="6080"/>
    <n v="304"/>
    <x v="1"/>
    <n v="45600"/>
    <n v="0.04"/>
    <n v="0.81"/>
    <n v="8.2100000000000009"/>
  </r>
  <r>
    <x v="574"/>
    <x v="0"/>
    <x v="11"/>
    <x v="2"/>
    <x v="4"/>
    <x v="0"/>
    <x v="0"/>
    <n v="4850"/>
    <n v="146000"/>
    <n v="7300"/>
    <n v="365"/>
    <x v="1"/>
    <n v="54750"/>
    <n v="0.05"/>
    <n v="0.66"/>
    <n v="10.29"/>
  </r>
  <r>
    <x v="575"/>
    <x v="3"/>
    <x v="10"/>
    <x v="1"/>
    <x v="4"/>
    <x v="1"/>
    <x v="2"/>
    <n v="4550"/>
    <n v="138000"/>
    <n v="5520"/>
    <n v="276"/>
    <x v="1"/>
    <n v="41400"/>
    <n v="0.04"/>
    <n v="0.82"/>
    <n v="8.1"/>
  </r>
  <r>
    <x v="576"/>
    <x v="0"/>
    <x v="16"/>
    <x v="0"/>
    <x v="6"/>
    <x v="3"/>
    <x v="2"/>
    <n v="6800"/>
    <n v="71000"/>
    <n v="2130"/>
    <n v="106"/>
    <x v="1"/>
    <n v="26625"/>
    <n v="0.03"/>
    <n v="3.19"/>
    <n v="2.92"/>
  </r>
  <r>
    <x v="577"/>
    <x v="3"/>
    <x v="1"/>
    <x v="1"/>
    <x v="2"/>
    <x v="0"/>
    <x v="2"/>
    <n v="4950"/>
    <n v="149000"/>
    <n v="7450"/>
    <n v="372"/>
    <x v="1"/>
    <n v="55875"/>
    <n v="0.05"/>
    <n v="0.66"/>
    <n v="10.29"/>
  </r>
  <r>
    <x v="578"/>
    <x v="3"/>
    <x v="7"/>
    <x v="2"/>
    <x v="10"/>
    <x v="2"/>
    <x v="2"/>
    <n v="5050"/>
    <n v="155000"/>
    <n v="6200"/>
    <n v="310"/>
    <x v="1"/>
    <n v="46500"/>
    <n v="0.04"/>
    <n v="0.81"/>
    <n v="8.2100000000000009"/>
  </r>
  <r>
    <x v="579"/>
    <x v="1"/>
    <x v="5"/>
    <x v="2"/>
    <x v="2"/>
    <x v="0"/>
    <x v="2"/>
    <n v="5050"/>
    <n v="152000"/>
    <n v="7600"/>
    <n v="380"/>
    <x v="1"/>
    <n v="57000"/>
    <n v="0.05"/>
    <n v="0.66"/>
    <n v="10.29"/>
  </r>
  <r>
    <x v="580"/>
    <x v="2"/>
    <x v="19"/>
    <x v="2"/>
    <x v="10"/>
    <x v="1"/>
    <x v="2"/>
    <n v="4650"/>
    <n v="141000"/>
    <n v="5640"/>
    <n v="282"/>
    <x v="1"/>
    <n v="42300"/>
    <n v="0.04"/>
    <n v="0.82"/>
    <n v="8.1"/>
  </r>
  <r>
    <x v="581"/>
    <x v="0"/>
    <x v="14"/>
    <x v="0"/>
    <x v="4"/>
    <x v="3"/>
    <x v="2"/>
    <n v="6900"/>
    <n v="72000"/>
    <n v="2160"/>
    <n v="108"/>
    <x v="1"/>
    <n v="27000"/>
    <n v="0.03"/>
    <n v="3.19"/>
    <n v="2.91"/>
  </r>
  <r>
    <x v="582"/>
    <x v="3"/>
    <x v="7"/>
    <x v="2"/>
    <x v="2"/>
    <x v="0"/>
    <x v="2"/>
    <n v="5150"/>
    <n v="155000"/>
    <n v="7750"/>
    <n v="388"/>
    <x v="1"/>
    <n v="58125"/>
    <n v="0.05"/>
    <n v="0.66"/>
    <n v="10.29"/>
  </r>
  <r>
    <x v="583"/>
    <x v="2"/>
    <x v="10"/>
    <x v="1"/>
    <x v="6"/>
    <x v="2"/>
    <x v="2"/>
    <n v="5150"/>
    <n v="158000"/>
    <n v="6320"/>
    <n v="316"/>
    <x v="1"/>
    <n v="47400"/>
    <n v="0.04"/>
    <n v="0.81"/>
    <n v="8.1999999999999993"/>
  </r>
  <r>
    <x v="584"/>
    <x v="3"/>
    <x v="7"/>
    <x v="2"/>
    <x v="10"/>
    <x v="0"/>
    <x v="2"/>
    <n v="5250"/>
    <n v="158000"/>
    <n v="7900"/>
    <n v="395"/>
    <x v="1"/>
    <n v="59250"/>
    <n v="0.05"/>
    <n v="0.66"/>
    <n v="10.29"/>
  </r>
  <r>
    <x v="585"/>
    <x v="1"/>
    <x v="0"/>
    <x v="0"/>
    <x v="1"/>
    <x v="1"/>
    <x v="2"/>
    <n v="4750"/>
    <n v="144000"/>
    <n v="5760"/>
    <n v="288"/>
    <x v="1"/>
    <n v="43200"/>
    <n v="0.04"/>
    <n v="0.82"/>
    <n v="8.09"/>
  </r>
  <r>
    <x v="586"/>
    <x v="3"/>
    <x v="3"/>
    <x v="1"/>
    <x v="3"/>
    <x v="3"/>
    <x v="2"/>
    <n v="7000"/>
    <n v="73000"/>
    <n v="2190"/>
    <n v="110"/>
    <x v="1"/>
    <n v="27375"/>
    <n v="0.03"/>
    <n v="3.2"/>
    <n v="2.91"/>
  </r>
  <r>
    <x v="587"/>
    <x v="3"/>
    <x v="16"/>
    <x v="0"/>
    <x v="0"/>
    <x v="0"/>
    <x v="2"/>
    <n v="5350"/>
    <n v="161000"/>
    <n v="8050"/>
    <n v="402"/>
    <x v="1"/>
    <n v="60375"/>
    <n v="0.05"/>
    <n v="0.66"/>
    <n v="10.28"/>
  </r>
  <r>
    <x v="588"/>
    <x v="0"/>
    <x v="2"/>
    <x v="0"/>
    <x v="6"/>
    <x v="2"/>
    <x v="2"/>
    <n v="5250"/>
    <n v="161000"/>
    <n v="6440"/>
    <n v="322"/>
    <x v="1"/>
    <n v="48300"/>
    <n v="0.04"/>
    <n v="0.82"/>
    <n v="8.1999999999999993"/>
  </r>
  <r>
    <x v="589"/>
    <x v="1"/>
    <x v="17"/>
    <x v="2"/>
    <x v="4"/>
    <x v="0"/>
    <x v="2"/>
    <n v="5450"/>
    <n v="164000"/>
    <n v="8200"/>
    <n v="410"/>
    <x v="1"/>
    <n v="61500"/>
    <n v="0.05"/>
    <n v="0.66"/>
    <n v="10.28"/>
  </r>
  <r>
    <x v="590"/>
    <x v="3"/>
    <x v="6"/>
    <x v="0"/>
    <x v="0"/>
    <x v="1"/>
    <x v="1"/>
    <n v="4850"/>
    <n v="147000"/>
    <n v="5880"/>
    <n v="294"/>
    <x v="1"/>
    <n v="44100"/>
    <n v="0.04"/>
    <n v="0.82"/>
    <n v="8.09"/>
  </r>
  <r>
    <x v="591"/>
    <x v="0"/>
    <x v="19"/>
    <x v="2"/>
    <x v="5"/>
    <x v="3"/>
    <x v="1"/>
    <n v="7100"/>
    <n v="74000"/>
    <n v="2220"/>
    <n v="111"/>
    <x v="1"/>
    <n v="27750"/>
    <n v="0.03"/>
    <n v="3.2"/>
    <n v="2.91"/>
  </r>
  <r>
    <x v="592"/>
    <x v="3"/>
    <x v="8"/>
    <x v="1"/>
    <x v="9"/>
    <x v="0"/>
    <x v="1"/>
    <n v="5550"/>
    <n v="167000"/>
    <n v="8350"/>
    <n v="418"/>
    <x v="1"/>
    <n v="62625"/>
    <n v="0.05"/>
    <n v="0.66"/>
    <n v="10.28"/>
  </r>
  <r>
    <x v="593"/>
    <x v="1"/>
    <x v="16"/>
    <x v="0"/>
    <x v="1"/>
    <x v="2"/>
    <x v="1"/>
    <n v="5350"/>
    <n v="164000"/>
    <n v="6560"/>
    <n v="328"/>
    <x v="1"/>
    <n v="49200"/>
    <n v="0.04"/>
    <n v="0.82"/>
    <n v="8.1999999999999993"/>
  </r>
  <r>
    <x v="594"/>
    <x v="0"/>
    <x v="1"/>
    <x v="1"/>
    <x v="10"/>
    <x v="0"/>
    <x v="1"/>
    <n v="5650"/>
    <n v="170000"/>
    <n v="8500"/>
    <n v="425"/>
    <x v="1"/>
    <n v="63750"/>
    <n v="0.05"/>
    <n v="0.66"/>
    <n v="10.28"/>
  </r>
  <r>
    <x v="595"/>
    <x v="3"/>
    <x v="9"/>
    <x v="2"/>
    <x v="7"/>
    <x v="1"/>
    <x v="1"/>
    <n v="4950"/>
    <n v="150000"/>
    <n v="6000"/>
    <n v="300"/>
    <x v="1"/>
    <n v="45000"/>
    <n v="0.04"/>
    <n v="0.82"/>
    <n v="8.09"/>
  </r>
  <r>
    <x v="596"/>
    <x v="3"/>
    <x v="15"/>
    <x v="2"/>
    <x v="0"/>
    <x v="3"/>
    <x v="1"/>
    <n v="7200"/>
    <n v="75000"/>
    <n v="2250"/>
    <n v="112"/>
    <x v="1"/>
    <n v="28125"/>
    <n v="0.03"/>
    <n v="3.2"/>
    <n v="2.91"/>
  </r>
  <r>
    <x v="597"/>
    <x v="0"/>
    <x v="13"/>
    <x v="1"/>
    <x v="8"/>
    <x v="0"/>
    <x v="1"/>
    <n v="5750"/>
    <n v="173000"/>
    <n v="8650"/>
    <n v="432"/>
    <x v="1"/>
    <n v="64875"/>
    <n v="0.05"/>
    <n v="0.66"/>
    <n v="10.28"/>
  </r>
  <r>
    <x v="598"/>
    <x v="0"/>
    <x v="2"/>
    <x v="0"/>
    <x v="2"/>
    <x v="2"/>
    <x v="1"/>
    <n v="5450"/>
    <n v="167000"/>
    <n v="6680"/>
    <n v="334"/>
    <x v="1"/>
    <n v="50100"/>
    <n v="0.04"/>
    <n v="0.82"/>
    <n v="8.19"/>
  </r>
  <r>
    <x v="599"/>
    <x v="0"/>
    <x v="14"/>
    <x v="0"/>
    <x v="6"/>
    <x v="0"/>
    <x v="1"/>
    <n v="5850"/>
    <n v="176000"/>
    <n v="8800"/>
    <n v="440"/>
    <x v="1"/>
    <n v="66000"/>
    <n v="0.05"/>
    <n v="0.66"/>
    <n v="10.28"/>
  </r>
  <r>
    <x v="600"/>
    <x v="0"/>
    <x v="12"/>
    <x v="0"/>
    <x v="10"/>
    <x v="1"/>
    <x v="3"/>
    <n v="5050"/>
    <n v="153000"/>
    <n v="6120"/>
    <n v="306"/>
    <x v="1"/>
    <n v="45900"/>
    <n v="0.04"/>
    <n v="0.82"/>
    <n v="8.09"/>
  </r>
  <r>
    <x v="601"/>
    <x v="3"/>
    <x v="7"/>
    <x v="2"/>
    <x v="2"/>
    <x v="3"/>
    <x v="3"/>
    <n v="7300"/>
    <n v="76000"/>
    <n v="2280"/>
    <n v="114"/>
    <x v="1"/>
    <n v="28500"/>
    <n v="0.03"/>
    <n v="3.2"/>
    <n v="2.9"/>
  </r>
  <r>
    <x v="602"/>
    <x v="1"/>
    <x v="4"/>
    <x v="0"/>
    <x v="2"/>
    <x v="0"/>
    <x v="3"/>
    <n v="5950"/>
    <n v="179000"/>
    <n v="8950"/>
    <n v="448"/>
    <x v="1"/>
    <n v="67125"/>
    <n v="0.05"/>
    <n v="0.66"/>
    <n v="10.28"/>
  </r>
  <r>
    <x v="603"/>
    <x v="3"/>
    <x v="2"/>
    <x v="0"/>
    <x v="4"/>
    <x v="2"/>
    <x v="3"/>
    <n v="5550"/>
    <n v="170000"/>
    <n v="6800"/>
    <n v="340"/>
    <x v="1"/>
    <n v="51000"/>
    <n v="0.04"/>
    <n v="0.82"/>
    <n v="8.19"/>
  </r>
  <r>
    <x v="604"/>
    <x v="3"/>
    <x v="3"/>
    <x v="1"/>
    <x v="10"/>
    <x v="0"/>
    <x v="3"/>
    <n v="6050"/>
    <n v="182000"/>
    <n v="9100"/>
    <n v="455"/>
    <x v="1"/>
    <n v="68250"/>
    <n v="0.05"/>
    <n v="0.66"/>
    <n v="10.28"/>
  </r>
  <r>
    <x v="605"/>
    <x v="2"/>
    <x v="3"/>
    <x v="1"/>
    <x v="0"/>
    <x v="1"/>
    <x v="3"/>
    <n v="5150"/>
    <n v="156000"/>
    <n v="6240"/>
    <n v="312"/>
    <x v="1"/>
    <n v="46800"/>
    <n v="0.04"/>
    <n v="0.82"/>
    <n v="8.09"/>
  </r>
  <r>
    <x v="606"/>
    <x v="3"/>
    <x v="10"/>
    <x v="1"/>
    <x v="3"/>
    <x v="3"/>
    <x v="3"/>
    <n v="7400"/>
    <n v="77000"/>
    <n v="2310"/>
    <n v="116"/>
    <x v="1"/>
    <n v="28875"/>
    <n v="0.03"/>
    <n v="3.2"/>
    <n v="2.9"/>
  </r>
  <r>
    <x v="607"/>
    <x v="3"/>
    <x v="4"/>
    <x v="0"/>
    <x v="7"/>
    <x v="0"/>
    <x v="3"/>
    <n v="6150"/>
    <n v="185000"/>
    <n v="9250"/>
    <n v="462"/>
    <x v="1"/>
    <n v="69375"/>
    <n v="0.05"/>
    <n v="0.66"/>
    <n v="10.28"/>
  </r>
  <r>
    <x v="608"/>
    <x v="3"/>
    <x v="5"/>
    <x v="2"/>
    <x v="10"/>
    <x v="2"/>
    <x v="3"/>
    <n v="5650"/>
    <n v="173000"/>
    <n v="6920"/>
    <n v="346"/>
    <x v="1"/>
    <n v="51900"/>
    <n v="0.04"/>
    <n v="0.82"/>
    <n v="8.19"/>
  </r>
  <r>
    <x v="609"/>
    <x v="2"/>
    <x v="19"/>
    <x v="2"/>
    <x v="10"/>
    <x v="0"/>
    <x v="3"/>
    <n v="6250"/>
    <n v="188000"/>
    <n v="9400"/>
    <n v="470"/>
    <x v="1"/>
    <n v="70500"/>
    <n v="0.05"/>
    <n v="0.66"/>
    <n v="10.28"/>
  </r>
  <r>
    <x v="610"/>
    <x v="2"/>
    <x v="13"/>
    <x v="1"/>
    <x v="6"/>
    <x v="1"/>
    <x v="3"/>
    <n v="5250"/>
    <n v="159000"/>
    <n v="6360"/>
    <n v="318"/>
    <x v="1"/>
    <n v="47700"/>
    <n v="0.04"/>
    <n v="0.82"/>
    <n v="8.09"/>
  </r>
  <r>
    <x v="611"/>
    <x v="2"/>
    <x v="6"/>
    <x v="0"/>
    <x v="6"/>
    <x v="3"/>
    <x v="3"/>
    <n v="7500"/>
    <n v="78000"/>
    <n v="2340"/>
    <n v="117"/>
    <x v="1"/>
    <n v="29250"/>
    <n v="0.03"/>
    <n v="3.21"/>
    <n v="2.9"/>
  </r>
  <r>
    <x v="612"/>
    <x v="2"/>
    <x v="17"/>
    <x v="2"/>
    <x v="1"/>
    <x v="0"/>
    <x v="3"/>
    <n v="6350"/>
    <n v="191000"/>
    <n v="9550"/>
    <n v="478"/>
    <x v="1"/>
    <n v="71625"/>
    <n v="0.05"/>
    <n v="0.66"/>
    <n v="10.28"/>
  </r>
  <r>
    <x v="613"/>
    <x v="1"/>
    <x v="11"/>
    <x v="2"/>
    <x v="2"/>
    <x v="2"/>
    <x v="3"/>
    <n v="5750"/>
    <n v="176000"/>
    <n v="7040"/>
    <n v="352"/>
    <x v="1"/>
    <n v="52800"/>
    <n v="0.04"/>
    <n v="0.82"/>
    <n v="8.18"/>
  </r>
  <r>
    <x v="614"/>
    <x v="0"/>
    <x v="15"/>
    <x v="2"/>
    <x v="1"/>
    <x v="0"/>
    <x v="3"/>
    <n v="6450"/>
    <n v="194000"/>
    <n v="9700"/>
    <n v="485"/>
    <x v="1"/>
    <n v="72750"/>
    <n v="0.05"/>
    <n v="0.66"/>
    <n v="10.28"/>
  </r>
  <r>
    <x v="615"/>
    <x v="0"/>
    <x v="14"/>
    <x v="0"/>
    <x v="2"/>
    <x v="1"/>
    <x v="3"/>
    <n v="5350"/>
    <n v="162000"/>
    <n v="6480"/>
    <n v="324"/>
    <x v="1"/>
    <n v="48600"/>
    <n v="0.04"/>
    <n v="0.82"/>
    <n v="8.09"/>
  </r>
  <r>
    <x v="616"/>
    <x v="3"/>
    <x v="1"/>
    <x v="1"/>
    <x v="8"/>
    <x v="3"/>
    <x v="3"/>
    <n v="7600"/>
    <n v="79000"/>
    <n v="2370"/>
    <n v="118"/>
    <x v="1"/>
    <n v="29625"/>
    <n v="0.03"/>
    <n v="3.21"/>
    <n v="2.9"/>
  </r>
  <r>
    <x v="89"/>
    <x v="3"/>
    <x v="9"/>
    <x v="2"/>
    <x v="0"/>
    <x v="1"/>
    <x v="0"/>
    <n v="2750"/>
    <n v="85000"/>
    <n v="3400"/>
    <n v="170"/>
    <x v="1"/>
    <n v="25500"/>
    <n v="0.04"/>
    <n v="0.81"/>
    <n v="8.27"/>
  </r>
  <r>
    <x v="90"/>
    <x v="3"/>
    <x v="15"/>
    <x v="2"/>
    <x v="10"/>
    <x v="0"/>
    <x v="0"/>
    <n v="1950"/>
    <n v="68000"/>
    <n v="3400"/>
    <n v="170"/>
    <x v="1"/>
    <n v="25500"/>
    <n v="0.05"/>
    <n v="0.56999999999999995"/>
    <n v="12.08"/>
  </r>
  <r>
    <x v="91"/>
    <x v="3"/>
    <x v="18"/>
    <x v="0"/>
    <x v="10"/>
    <x v="2"/>
    <x v="0"/>
    <n v="3550"/>
    <n v="111000"/>
    <n v="4440"/>
    <n v="222"/>
    <x v="1"/>
    <n v="33300"/>
    <n v="0.04"/>
    <n v="0.8"/>
    <n v="8.3800000000000008"/>
  </r>
  <r>
    <x v="92"/>
    <x v="2"/>
    <x v="15"/>
    <x v="2"/>
    <x v="4"/>
    <x v="3"/>
    <x v="0"/>
    <n v="5300"/>
    <n v="57000"/>
    <n v="1710"/>
    <n v="86"/>
    <x v="1"/>
    <n v="21375"/>
    <n v="0.03"/>
    <n v="3.1"/>
    <n v="3.03"/>
  </r>
  <r>
    <x v="93"/>
    <x v="0"/>
    <x v="2"/>
    <x v="0"/>
    <x v="3"/>
    <x v="0"/>
    <x v="0"/>
    <n v="2250"/>
    <n v="73000"/>
    <n v="3650"/>
    <n v="182"/>
    <x v="1"/>
    <n v="27375"/>
    <n v="0.05"/>
    <n v="0.62"/>
    <n v="11.17"/>
  </r>
  <r>
    <x v="94"/>
    <x v="1"/>
    <x v="5"/>
    <x v="2"/>
    <x v="10"/>
    <x v="1"/>
    <x v="0"/>
    <n v="3150"/>
    <n v="97000"/>
    <n v="3880"/>
    <n v="194"/>
    <x v="1"/>
    <n v="29100"/>
    <n v="0.04"/>
    <n v="0.81"/>
    <n v="8.24"/>
  </r>
  <r>
    <x v="95"/>
    <x v="3"/>
    <x v="4"/>
    <x v="0"/>
    <x v="6"/>
    <x v="0"/>
    <x v="0"/>
    <n v="2450"/>
    <n v="77000"/>
    <n v="3850"/>
    <n v="192"/>
    <x v="1"/>
    <n v="28875"/>
    <n v="0.05"/>
    <n v="0.64"/>
    <n v="10.79"/>
  </r>
  <r>
    <x v="96"/>
    <x v="2"/>
    <x v="15"/>
    <x v="2"/>
    <x v="10"/>
    <x v="2"/>
    <x v="0"/>
    <n v="3850"/>
    <n v="119000"/>
    <n v="4760"/>
    <n v="238"/>
    <x v="1"/>
    <n v="35700"/>
    <n v="0.04"/>
    <n v="0.81"/>
    <n v="8.27"/>
  </r>
  <r>
    <x v="97"/>
    <x v="3"/>
    <x v="16"/>
    <x v="0"/>
    <x v="10"/>
    <x v="3"/>
    <x v="0"/>
    <n v="5600"/>
    <n v="60000"/>
    <n v="1800"/>
    <n v="90"/>
    <x v="1"/>
    <n v="22500"/>
    <n v="0.03"/>
    <n v="3.11"/>
    <n v="3.02"/>
  </r>
  <r>
    <x v="617"/>
    <x v="3"/>
    <x v="12"/>
    <x v="0"/>
    <x v="9"/>
    <x v="0"/>
    <x v="0"/>
    <n v="2650"/>
    <n v="81000"/>
    <n v="4050"/>
    <n v="202"/>
    <x v="1"/>
    <n v="30375"/>
    <n v="0.05"/>
    <n v="0.65"/>
    <n v="10.46"/>
  </r>
  <r>
    <x v="618"/>
    <x v="0"/>
    <x v="16"/>
    <x v="0"/>
    <x v="1"/>
    <x v="1"/>
    <x v="0"/>
    <n v="3450"/>
    <n v="104000"/>
    <n v="4160"/>
    <n v="208"/>
    <x v="1"/>
    <n v="31200"/>
    <n v="0.04"/>
    <n v="0.83"/>
    <n v="8.0399999999999991"/>
  </r>
  <r>
    <x v="619"/>
    <x v="3"/>
    <x v="11"/>
    <x v="2"/>
    <x v="6"/>
    <x v="0"/>
    <x v="2"/>
    <n v="2850"/>
    <n v="86000"/>
    <n v="4300"/>
    <n v="215"/>
    <x v="1"/>
    <n v="32250"/>
    <n v="0.05"/>
    <n v="0.66"/>
    <n v="10.32"/>
  </r>
  <r>
    <x v="620"/>
    <x v="3"/>
    <x v="15"/>
    <x v="2"/>
    <x v="10"/>
    <x v="2"/>
    <x v="2"/>
    <n v="4150"/>
    <n v="128000"/>
    <n v="5120"/>
    <n v="256"/>
    <x v="1"/>
    <n v="38400"/>
    <n v="0.04"/>
    <n v="0.81"/>
    <n v="8.25"/>
  </r>
  <r>
    <x v="621"/>
    <x v="2"/>
    <x v="8"/>
    <x v="1"/>
    <x v="2"/>
    <x v="3"/>
    <x v="2"/>
    <n v="5900"/>
    <n v="62000"/>
    <n v="1860"/>
    <n v="93"/>
    <x v="1"/>
    <n v="23250"/>
    <n v="0.03"/>
    <n v="3.17"/>
    <n v="2.94"/>
  </r>
  <r>
    <x v="622"/>
    <x v="2"/>
    <x v="18"/>
    <x v="0"/>
    <x v="1"/>
    <x v="0"/>
    <x v="2"/>
    <n v="3050"/>
    <n v="92000"/>
    <n v="4600"/>
    <n v="230"/>
    <x v="1"/>
    <n v="34500"/>
    <n v="0.05"/>
    <n v="0.66"/>
    <n v="10.31"/>
  </r>
  <r>
    <x v="623"/>
    <x v="0"/>
    <x v="15"/>
    <x v="2"/>
    <x v="10"/>
    <x v="1"/>
    <x v="2"/>
    <n v="3750"/>
    <n v="113000"/>
    <n v="4520"/>
    <n v="226"/>
    <x v="1"/>
    <n v="33900"/>
    <n v="0.04"/>
    <n v="0.83"/>
    <n v="8.0399999999999991"/>
  </r>
  <r>
    <x v="624"/>
    <x v="3"/>
    <x v="5"/>
    <x v="2"/>
    <x v="6"/>
    <x v="0"/>
    <x v="2"/>
    <n v="3250"/>
    <n v="98000"/>
    <n v="4900"/>
    <n v="245"/>
    <x v="1"/>
    <n v="36750"/>
    <n v="0.05"/>
    <n v="0.66"/>
    <n v="10.31"/>
  </r>
  <r>
    <x v="625"/>
    <x v="3"/>
    <x v="11"/>
    <x v="2"/>
    <x v="1"/>
    <x v="2"/>
    <x v="2"/>
    <n v="4250"/>
    <n v="131000"/>
    <n v="5240"/>
    <n v="262"/>
    <x v="1"/>
    <n v="39300"/>
    <n v="0.04"/>
    <n v="0.81"/>
    <n v="8.25"/>
  </r>
  <r>
    <x v="626"/>
    <x v="1"/>
    <x v="18"/>
    <x v="0"/>
    <x v="2"/>
    <x v="3"/>
    <x v="2"/>
    <n v="6000"/>
    <n v="63000"/>
    <n v="1890"/>
    <n v="94"/>
    <x v="1"/>
    <n v="23625"/>
    <n v="0.03"/>
    <n v="3.17"/>
    <n v="2.94"/>
  </r>
  <r>
    <x v="627"/>
    <x v="0"/>
    <x v="7"/>
    <x v="2"/>
    <x v="6"/>
    <x v="0"/>
    <x v="2"/>
    <n v="3350"/>
    <n v="101000"/>
    <n v="5050"/>
    <n v="252"/>
    <x v="1"/>
    <n v="37875"/>
    <n v="0.05"/>
    <n v="0.66"/>
    <n v="10.31"/>
  </r>
  <r>
    <x v="628"/>
    <x v="3"/>
    <x v="18"/>
    <x v="0"/>
    <x v="3"/>
    <x v="1"/>
    <x v="2"/>
    <n v="3850"/>
    <n v="117000"/>
    <n v="4680"/>
    <n v="234"/>
    <x v="1"/>
    <n v="35100"/>
    <n v="0.04"/>
    <n v="0.82"/>
    <n v="8.1199999999999992"/>
  </r>
  <r>
    <x v="629"/>
    <x v="1"/>
    <x v="14"/>
    <x v="0"/>
    <x v="6"/>
    <x v="0"/>
    <x v="2"/>
    <n v="3450"/>
    <n v="104000"/>
    <n v="5200"/>
    <n v="260"/>
    <x v="1"/>
    <n v="39000"/>
    <n v="0.05"/>
    <n v="0.66"/>
    <n v="10.3"/>
  </r>
  <r>
    <x v="630"/>
    <x v="0"/>
    <x v="9"/>
    <x v="2"/>
    <x v="9"/>
    <x v="2"/>
    <x v="2"/>
    <n v="4350"/>
    <n v="134000"/>
    <n v="5360"/>
    <n v="268"/>
    <x v="1"/>
    <n v="40200"/>
    <n v="0.04"/>
    <n v="0.81"/>
    <n v="8.24"/>
  </r>
  <r>
    <x v="631"/>
    <x v="0"/>
    <x v="16"/>
    <x v="0"/>
    <x v="9"/>
    <x v="3"/>
    <x v="2"/>
    <n v="6100"/>
    <n v="64000"/>
    <n v="1920"/>
    <n v="96"/>
    <x v="1"/>
    <n v="24000"/>
    <n v="0.03"/>
    <n v="3.18"/>
    <n v="2.93"/>
  </r>
  <r>
    <x v="632"/>
    <x v="3"/>
    <x v="13"/>
    <x v="1"/>
    <x v="0"/>
    <x v="0"/>
    <x v="2"/>
    <n v="3550"/>
    <n v="107000"/>
    <n v="5350"/>
    <n v="268"/>
    <x v="1"/>
    <n v="40125"/>
    <n v="0.05"/>
    <n v="0.66"/>
    <n v="10.3"/>
  </r>
  <r>
    <x v="98"/>
    <x v="3"/>
    <x v="4"/>
    <x v="0"/>
    <x v="9"/>
    <x v="1"/>
    <x v="1"/>
    <n v="3950"/>
    <n v="120000"/>
    <n v="4800"/>
    <n v="240"/>
    <x v="1"/>
    <n v="36000"/>
    <n v="0.04"/>
    <n v="0.82"/>
    <n v="8.11"/>
  </r>
  <r>
    <x v="99"/>
    <x v="1"/>
    <x v="16"/>
    <x v="0"/>
    <x v="3"/>
    <x v="0"/>
    <x v="1"/>
    <n v="3650"/>
    <n v="110000"/>
    <n v="5500"/>
    <n v="275"/>
    <x v="1"/>
    <n v="41250"/>
    <n v="0.05"/>
    <n v="0.66"/>
    <n v="10.3"/>
  </r>
  <r>
    <x v="100"/>
    <x v="0"/>
    <x v="13"/>
    <x v="1"/>
    <x v="0"/>
    <x v="2"/>
    <x v="1"/>
    <n v="4450"/>
    <n v="137000"/>
    <n v="5480"/>
    <n v="274"/>
    <x v="1"/>
    <n v="41100"/>
    <n v="0.04"/>
    <n v="0.81"/>
    <n v="8.24"/>
  </r>
  <r>
    <x v="101"/>
    <x v="0"/>
    <x v="14"/>
    <x v="0"/>
    <x v="10"/>
    <x v="3"/>
    <x v="1"/>
    <n v="6200"/>
    <n v="65000"/>
    <n v="1950"/>
    <n v="98"/>
    <x v="1"/>
    <n v="24375"/>
    <n v="0.03"/>
    <n v="3.18"/>
    <n v="2.93"/>
  </r>
  <r>
    <x v="102"/>
    <x v="3"/>
    <x v="3"/>
    <x v="1"/>
    <x v="2"/>
    <x v="0"/>
    <x v="1"/>
    <n v="3750"/>
    <n v="113000"/>
    <n v="5650"/>
    <n v="282"/>
    <x v="1"/>
    <n v="42375"/>
    <n v="0.05"/>
    <n v="0.66"/>
    <n v="10.3"/>
  </r>
  <r>
    <x v="103"/>
    <x v="0"/>
    <x v="8"/>
    <x v="1"/>
    <x v="10"/>
    <x v="1"/>
    <x v="1"/>
    <n v="4050"/>
    <n v="123000"/>
    <n v="4920"/>
    <n v="246"/>
    <x v="1"/>
    <n v="36900"/>
    <n v="0.04"/>
    <n v="0.82"/>
    <n v="8.11"/>
  </r>
  <r>
    <x v="633"/>
    <x v="0"/>
    <x v="18"/>
    <x v="0"/>
    <x v="2"/>
    <x v="0"/>
    <x v="1"/>
    <n v="3850"/>
    <n v="116000"/>
    <n v="5800"/>
    <n v="290"/>
    <x v="1"/>
    <n v="43500"/>
    <n v="0.05"/>
    <n v="0.66"/>
    <n v="10.3"/>
  </r>
  <r>
    <x v="634"/>
    <x v="1"/>
    <x v="5"/>
    <x v="2"/>
    <x v="10"/>
    <x v="2"/>
    <x v="1"/>
    <n v="4550"/>
    <n v="140000"/>
    <n v="5600"/>
    <n v="280"/>
    <x v="1"/>
    <n v="42000"/>
    <n v="0.04"/>
    <n v="0.81"/>
    <n v="8.23"/>
  </r>
  <r>
    <x v="635"/>
    <x v="3"/>
    <x v="14"/>
    <x v="0"/>
    <x v="1"/>
    <x v="3"/>
    <x v="1"/>
    <n v="6300"/>
    <n v="66000"/>
    <n v="1980"/>
    <n v="99"/>
    <x v="1"/>
    <n v="24750"/>
    <n v="0.03"/>
    <n v="3.18"/>
    <n v="2.93"/>
  </r>
  <r>
    <x v="636"/>
    <x v="3"/>
    <x v="12"/>
    <x v="0"/>
    <x v="9"/>
    <x v="0"/>
    <x v="1"/>
    <n v="3950"/>
    <n v="119000"/>
    <n v="5950"/>
    <n v="298"/>
    <x v="1"/>
    <n v="44625"/>
    <n v="0.05"/>
    <n v="0.66"/>
    <n v="10.3"/>
  </r>
  <r>
    <x v="637"/>
    <x v="3"/>
    <x v="7"/>
    <x v="2"/>
    <x v="9"/>
    <x v="1"/>
    <x v="1"/>
    <n v="4150"/>
    <n v="126000"/>
    <n v="5040"/>
    <n v="252"/>
    <x v="1"/>
    <n v="37800"/>
    <n v="0.04"/>
    <n v="0.82"/>
    <n v="8.11"/>
  </r>
  <r>
    <x v="638"/>
    <x v="0"/>
    <x v="15"/>
    <x v="2"/>
    <x v="6"/>
    <x v="0"/>
    <x v="1"/>
    <n v="4050"/>
    <n v="122000"/>
    <n v="6100"/>
    <n v="305"/>
    <x v="1"/>
    <n v="45750"/>
    <n v="0.05"/>
    <n v="0.66"/>
    <n v="10.3"/>
  </r>
  <r>
    <x v="639"/>
    <x v="0"/>
    <x v="12"/>
    <x v="0"/>
    <x v="2"/>
    <x v="2"/>
    <x v="3"/>
    <n v="4650"/>
    <n v="143000"/>
    <n v="5720"/>
    <n v="286"/>
    <x v="1"/>
    <n v="42900"/>
    <n v="0.04"/>
    <n v="0.81"/>
    <n v="8.23"/>
  </r>
  <r>
    <x v="640"/>
    <x v="3"/>
    <x v="6"/>
    <x v="0"/>
    <x v="10"/>
    <x v="3"/>
    <x v="3"/>
    <n v="6400"/>
    <n v="67000"/>
    <n v="2010"/>
    <n v="100"/>
    <x v="1"/>
    <n v="25125"/>
    <n v="0.03"/>
    <n v="3.18"/>
    <n v="2.93"/>
  </r>
  <r>
    <x v="641"/>
    <x v="1"/>
    <x v="16"/>
    <x v="0"/>
    <x v="1"/>
    <x v="0"/>
    <x v="3"/>
    <n v="4150"/>
    <n v="125000"/>
    <n v="6250"/>
    <n v="312"/>
    <x v="1"/>
    <n v="46875"/>
    <n v="0.05"/>
    <n v="0.66"/>
    <n v="10.3"/>
  </r>
  <r>
    <x v="642"/>
    <x v="3"/>
    <x v="18"/>
    <x v="0"/>
    <x v="4"/>
    <x v="1"/>
    <x v="3"/>
    <n v="4250"/>
    <n v="129000"/>
    <n v="5160"/>
    <n v="258"/>
    <x v="1"/>
    <n v="38700"/>
    <n v="0.04"/>
    <n v="0.82"/>
    <n v="8.11"/>
  </r>
  <r>
    <x v="643"/>
    <x v="3"/>
    <x v="12"/>
    <x v="0"/>
    <x v="9"/>
    <x v="0"/>
    <x v="3"/>
    <n v="4250"/>
    <n v="128000"/>
    <n v="6400"/>
    <n v="320"/>
    <x v="1"/>
    <n v="48000"/>
    <n v="0.05"/>
    <n v="0.66"/>
    <n v="10.29"/>
  </r>
  <r>
    <x v="644"/>
    <x v="1"/>
    <x v="8"/>
    <x v="1"/>
    <x v="4"/>
    <x v="2"/>
    <x v="3"/>
    <n v="4750"/>
    <n v="146000"/>
    <n v="5840"/>
    <n v="292"/>
    <x v="1"/>
    <n v="43800"/>
    <n v="0.04"/>
    <n v="0.81"/>
    <n v="8.2200000000000006"/>
  </r>
  <r>
    <x v="104"/>
    <x v="3"/>
    <x v="16"/>
    <x v="0"/>
    <x v="4"/>
    <x v="3"/>
    <x v="3"/>
    <n v="6500"/>
    <n v="68000"/>
    <n v="2040"/>
    <n v="102"/>
    <x v="1"/>
    <n v="25500"/>
    <n v="0.03"/>
    <n v="3.19"/>
    <n v="2.92"/>
  </r>
  <r>
    <x v="105"/>
    <x v="2"/>
    <x v="5"/>
    <x v="2"/>
    <x v="10"/>
    <x v="0"/>
    <x v="3"/>
    <n v="4350"/>
    <n v="131000"/>
    <n v="6550"/>
    <n v="328"/>
    <x v="1"/>
    <n v="49125"/>
    <n v="0.05"/>
    <n v="0.66"/>
    <n v="10.29"/>
  </r>
  <r>
    <x v="106"/>
    <x v="0"/>
    <x v="2"/>
    <x v="0"/>
    <x v="6"/>
    <x v="1"/>
    <x v="3"/>
    <n v="4350"/>
    <n v="132000"/>
    <n v="5280"/>
    <n v="264"/>
    <x v="1"/>
    <n v="39600"/>
    <n v="0.04"/>
    <n v="0.82"/>
    <n v="8.1"/>
  </r>
  <r>
    <x v="107"/>
    <x v="3"/>
    <x v="3"/>
    <x v="1"/>
    <x v="0"/>
    <x v="0"/>
    <x v="3"/>
    <n v="4450"/>
    <n v="134000"/>
    <n v="6700"/>
    <n v="335"/>
    <x v="1"/>
    <n v="50250"/>
    <n v="0.05"/>
    <n v="0.66"/>
    <n v="10.29"/>
  </r>
  <r>
    <x v="108"/>
    <x v="3"/>
    <x v="9"/>
    <x v="2"/>
    <x v="2"/>
    <x v="2"/>
    <x v="3"/>
    <n v="4850"/>
    <n v="149000"/>
    <n v="5960"/>
    <n v="298"/>
    <x v="1"/>
    <n v="44700"/>
    <n v="0.04"/>
    <n v="0.81"/>
    <n v="8.2200000000000006"/>
  </r>
  <r>
    <x v="109"/>
    <x v="3"/>
    <x v="1"/>
    <x v="1"/>
    <x v="1"/>
    <x v="3"/>
    <x v="3"/>
    <n v="6600"/>
    <n v="69000"/>
    <n v="2070"/>
    <n v="104"/>
    <x v="1"/>
    <n v="25875"/>
    <n v="0.03"/>
    <n v="3.19"/>
    <n v="2.92"/>
  </r>
  <r>
    <x v="110"/>
    <x v="1"/>
    <x v="0"/>
    <x v="0"/>
    <x v="6"/>
    <x v="0"/>
    <x v="3"/>
    <n v="4550"/>
    <n v="137000"/>
    <n v="6850"/>
    <n v="342"/>
    <x v="1"/>
    <n v="51375"/>
    <n v="0.05"/>
    <n v="0.66"/>
    <n v="10.29"/>
  </r>
  <r>
    <x v="111"/>
    <x v="2"/>
    <x v="4"/>
    <x v="0"/>
    <x v="6"/>
    <x v="1"/>
    <x v="3"/>
    <n v="4450"/>
    <n v="135000"/>
    <n v="5400"/>
    <n v="270"/>
    <x v="1"/>
    <n v="40500"/>
    <n v="0.04"/>
    <n v="0.82"/>
    <n v="8.1"/>
  </r>
  <r>
    <x v="645"/>
    <x v="1"/>
    <x v="13"/>
    <x v="1"/>
    <x v="11"/>
    <x v="0"/>
    <x v="0"/>
    <n v="4650"/>
    <n v="140000"/>
    <n v="7000"/>
    <n v="350"/>
    <x v="1"/>
    <n v="52500"/>
    <n v="0.05"/>
    <n v="0.66"/>
    <n v="10.29"/>
  </r>
  <r>
    <x v="646"/>
    <x v="0"/>
    <x v="8"/>
    <x v="1"/>
    <x v="6"/>
    <x v="2"/>
    <x v="0"/>
    <n v="4950"/>
    <n v="152000"/>
    <n v="6080"/>
    <n v="304"/>
    <x v="1"/>
    <n v="45600"/>
    <n v="0.04"/>
    <n v="0.81"/>
    <n v="8.2100000000000009"/>
  </r>
  <r>
    <x v="647"/>
    <x v="3"/>
    <x v="5"/>
    <x v="2"/>
    <x v="2"/>
    <x v="3"/>
    <x v="0"/>
    <n v="6700"/>
    <n v="70000"/>
    <n v="2100"/>
    <n v="105"/>
    <x v="1"/>
    <n v="26250"/>
    <n v="0.03"/>
    <n v="3.19"/>
    <n v="2.92"/>
  </r>
  <r>
    <x v="648"/>
    <x v="0"/>
    <x v="19"/>
    <x v="2"/>
    <x v="2"/>
    <x v="0"/>
    <x v="0"/>
    <n v="4750"/>
    <n v="143000"/>
    <n v="7150"/>
    <n v="358"/>
    <x v="1"/>
    <n v="53625"/>
    <n v="0.05"/>
    <n v="0.66"/>
    <n v="10.29"/>
  </r>
  <r>
    <x v="649"/>
    <x v="3"/>
    <x v="9"/>
    <x v="2"/>
    <x v="8"/>
    <x v="1"/>
    <x v="0"/>
    <n v="4550"/>
    <n v="138000"/>
    <n v="5520"/>
    <n v="276"/>
    <x v="1"/>
    <n v="41400"/>
    <n v="0.04"/>
    <n v="0.82"/>
    <n v="8.1"/>
  </r>
  <r>
    <x v="650"/>
    <x v="1"/>
    <x v="17"/>
    <x v="2"/>
    <x v="0"/>
    <x v="0"/>
    <x v="0"/>
    <n v="4850"/>
    <n v="146000"/>
    <n v="7300"/>
    <n v="365"/>
    <x v="1"/>
    <n v="54750"/>
    <n v="0.05"/>
    <n v="0.66"/>
    <n v="10.29"/>
  </r>
  <r>
    <x v="651"/>
    <x v="0"/>
    <x v="9"/>
    <x v="2"/>
    <x v="1"/>
    <x v="2"/>
    <x v="0"/>
    <n v="5050"/>
    <n v="155000"/>
    <n v="6200"/>
    <n v="310"/>
    <x v="1"/>
    <n v="46500"/>
    <n v="0.04"/>
    <n v="0.81"/>
    <n v="8.2100000000000009"/>
  </r>
  <r>
    <x v="652"/>
    <x v="2"/>
    <x v="12"/>
    <x v="0"/>
    <x v="2"/>
    <x v="3"/>
    <x v="0"/>
    <n v="6800"/>
    <n v="71000"/>
    <n v="2130"/>
    <n v="106"/>
    <x v="1"/>
    <n v="26625"/>
    <n v="0.03"/>
    <n v="3.19"/>
    <n v="2.92"/>
  </r>
  <r>
    <x v="653"/>
    <x v="0"/>
    <x v="1"/>
    <x v="1"/>
    <x v="6"/>
    <x v="0"/>
    <x v="0"/>
    <n v="4950"/>
    <n v="149000"/>
    <n v="7450"/>
    <n v="372"/>
    <x v="1"/>
    <n v="55875"/>
    <n v="0.05"/>
    <n v="0.66"/>
    <n v="10.29"/>
  </r>
  <r>
    <x v="654"/>
    <x v="2"/>
    <x v="14"/>
    <x v="0"/>
    <x v="6"/>
    <x v="1"/>
    <x v="0"/>
    <n v="4650"/>
    <n v="141000"/>
    <n v="5640"/>
    <n v="282"/>
    <x v="1"/>
    <n v="42300"/>
    <n v="0.04"/>
    <n v="0.82"/>
    <n v="8.1"/>
  </r>
  <r>
    <x v="655"/>
    <x v="0"/>
    <x v="6"/>
    <x v="0"/>
    <x v="2"/>
    <x v="0"/>
    <x v="0"/>
    <n v="5050"/>
    <n v="152000"/>
    <n v="7600"/>
    <n v="380"/>
    <x v="1"/>
    <n v="57000"/>
    <n v="0.05"/>
    <n v="0.66"/>
    <n v="10.29"/>
  </r>
  <r>
    <x v="656"/>
    <x v="3"/>
    <x v="10"/>
    <x v="1"/>
    <x v="10"/>
    <x v="2"/>
    <x v="2"/>
    <n v="5150"/>
    <n v="158000"/>
    <n v="6320"/>
    <n v="316"/>
    <x v="1"/>
    <n v="47400"/>
    <n v="0.04"/>
    <n v="0.81"/>
    <n v="8.1999999999999993"/>
  </r>
  <r>
    <x v="657"/>
    <x v="0"/>
    <x v="12"/>
    <x v="0"/>
    <x v="2"/>
    <x v="3"/>
    <x v="2"/>
    <n v="6900"/>
    <n v="72000"/>
    <n v="2160"/>
    <n v="108"/>
    <x v="1"/>
    <n v="27000"/>
    <n v="0.03"/>
    <n v="3.19"/>
    <n v="2.91"/>
  </r>
  <r>
    <x v="658"/>
    <x v="1"/>
    <x v="14"/>
    <x v="0"/>
    <x v="2"/>
    <x v="0"/>
    <x v="2"/>
    <n v="5150"/>
    <n v="155000"/>
    <n v="7750"/>
    <n v="388"/>
    <x v="1"/>
    <n v="58125"/>
    <n v="0.05"/>
    <n v="0.66"/>
    <n v="10.29"/>
  </r>
  <r>
    <x v="112"/>
    <x v="1"/>
    <x v="9"/>
    <x v="2"/>
    <x v="11"/>
    <x v="1"/>
    <x v="2"/>
    <n v="4750"/>
    <n v="144000"/>
    <n v="5760"/>
    <n v="288"/>
    <x v="1"/>
    <n v="43200"/>
    <n v="0.04"/>
    <n v="0.82"/>
    <n v="8.09"/>
  </r>
  <r>
    <x v="113"/>
    <x v="1"/>
    <x v="10"/>
    <x v="1"/>
    <x v="2"/>
    <x v="0"/>
    <x v="2"/>
    <n v="5250"/>
    <n v="158000"/>
    <n v="7900"/>
    <n v="395"/>
    <x v="1"/>
    <n v="59250"/>
    <n v="0.05"/>
    <n v="0.66"/>
    <n v="10.29"/>
  </r>
  <r>
    <x v="114"/>
    <x v="3"/>
    <x v="0"/>
    <x v="0"/>
    <x v="10"/>
    <x v="2"/>
    <x v="2"/>
    <n v="5250"/>
    <n v="161000"/>
    <n v="6440"/>
    <n v="322"/>
    <x v="1"/>
    <n v="48300"/>
    <n v="0.04"/>
    <n v="0.82"/>
    <n v="8.1999999999999993"/>
  </r>
  <r>
    <x v="115"/>
    <x v="1"/>
    <x v="16"/>
    <x v="0"/>
    <x v="4"/>
    <x v="3"/>
    <x v="2"/>
    <n v="7000"/>
    <n v="73000"/>
    <n v="2190"/>
    <n v="110"/>
    <x v="1"/>
    <n v="27375"/>
    <n v="0.03"/>
    <n v="3.2"/>
    <n v="2.91"/>
  </r>
  <r>
    <x v="116"/>
    <x v="3"/>
    <x v="3"/>
    <x v="1"/>
    <x v="3"/>
    <x v="0"/>
    <x v="2"/>
    <n v="5350"/>
    <n v="161000"/>
    <n v="8050"/>
    <n v="402"/>
    <x v="1"/>
    <n v="60375"/>
    <n v="0.05"/>
    <n v="0.66"/>
    <n v="10.28"/>
  </r>
  <r>
    <x v="117"/>
    <x v="3"/>
    <x v="12"/>
    <x v="0"/>
    <x v="10"/>
    <x v="1"/>
    <x v="2"/>
    <n v="4850"/>
    <n v="147000"/>
    <n v="5880"/>
    <n v="294"/>
    <x v="1"/>
    <n v="44100"/>
    <n v="0.04"/>
    <n v="0.82"/>
    <n v="8.09"/>
  </r>
  <r>
    <x v="118"/>
    <x v="1"/>
    <x v="1"/>
    <x v="1"/>
    <x v="2"/>
    <x v="0"/>
    <x v="2"/>
    <n v="5450"/>
    <n v="164000"/>
    <n v="8200"/>
    <n v="410"/>
    <x v="1"/>
    <n v="61500"/>
    <n v="0.05"/>
    <n v="0.66"/>
    <n v="10.28"/>
  </r>
  <r>
    <x v="119"/>
    <x v="0"/>
    <x v="18"/>
    <x v="0"/>
    <x v="4"/>
    <x v="2"/>
    <x v="2"/>
    <n v="5350"/>
    <n v="164000"/>
    <n v="6560"/>
    <n v="328"/>
    <x v="1"/>
    <n v="49200"/>
    <n v="0.04"/>
    <n v="0.82"/>
    <n v="8.1999999999999993"/>
  </r>
  <r>
    <x v="120"/>
    <x v="1"/>
    <x v="18"/>
    <x v="0"/>
    <x v="1"/>
    <x v="3"/>
    <x v="2"/>
    <n v="7100"/>
    <n v="74000"/>
    <n v="2220"/>
    <n v="111"/>
    <x v="1"/>
    <n v="27750"/>
    <n v="0.03"/>
    <n v="3.2"/>
    <n v="2.91"/>
  </r>
  <r>
    <x v="121"/>
    <x v="2"/>
    <x v="1"/>
    <x v="1"/>
    <x v="0"/>
    <x v="0"/>
    <x v="2"/>
    <n v="5550"/>
    <n v="167000"/>
    <n v="8350"/>
    <n v="418"/>
    <x v="1"/>
    <n v="62625"/>
    <n v="0.05"/>
    <n v="0.66"/>
    <n v="10.28"/>
  </r>
  <r>
    <x v="122"/>
    <x v="3"/>
    <x v="12"/>
    <x v="0"/>
    <x v="7"/>
    <x v="1"/>
    <x v="2"/>
    <n v="4950"/>
    <n v="150000"/>
    <n v="6000"/>
    <n v="300"/>
    <x v="1"/>
    <n v="45000"/>
    <n v="0.04"/>
    <n v="0.82"/>
    <n v="8.09"/>
  </r>
  <r>
    <x v="123"/>
    <x v="0"/>
    <x v="9"/>
    <x v="2"/>
    <x v="3"/>
    <x v="0"/>
    <x v="2"/>
    <n v="5650"/>
    <n v="170000"/>
    <n v="8500"/>
    <n v="425"/>
    <x v="1"/>
    <n v="63750"/>
    <n v="0.05"/>
    <n v="0.66"/>
    <n v="10.28"/>
  </r>
  <r>
    <x v="124"/>
    <x v="3"/>
    <x v="5"/>
    <x v="2"/>
    <x v="11"/>
    <x v="2"/>
    <x v="1"/>
    <n v="5450"/>
    <n v="167000"/>
    <n v="6680"/>
    <n v="334"/>
    <x v="1"/>
    <n v="50100"/>
    <n v="0.04"/>
    <n v="0.82"/>
    <n v="8.19"/>
  </r>
  <r>
    <x v="125"/>
    <x v="1"/>
    <x v="0"/>
    <x v="0"/>
    <x v="2"/>
    <x v="3"/>
    <x v="1"/>
    <n v="7200"/>
    <n v="75000"/>
    <n v="2250"/>
    <n v="112"/>
    <x v="1"/>
    <n v="28125"/>
    <n v="0.03"/>
    <n v="3.2"/>
    <n v="2.91"/>
  </r>
  <r>
    <x v="126"/>
    <x v="2"/>
    <x v="5"/>
    <x v="2"/>
    <x v="6"/>
    <x v="0"/>
    <x v="1"/>
    <n v="5750"/>
    <n v="173000"/>
    <n v="8650"/>
    <n v="432"/>
    <x v="1"/>
    <n v="64875"/>
    <n v="0.05"/>
    <n v="0.66"/>
    <n v="10.28"/>
  </r>
  <r>
    <x v="127"/>
    <x v="0"/>
    <x v="11"/>
    <x v="2"/>
    <x v="2"/>
    <x v="1"/>
    <x v="1"/>
    <n v="5050"/>
    <n v="153000"/>
    <n v="6120"/>
    <n v="306"/>
    <x v="1"/>
    <n v="45900"/>
    <n v="0.04"/>
    <n v="0.82"/>
    <n v="8.09"/>
  </r>
  <r>
    <x v="128"/>
    <x v="3"/>
    <x v="17"/>
    <x v="2"/>
    <x v="1"/>
    <x v="0"/>
    <x v="1"/>
    <n v="5850"/>
    <n v="176000"/>
    <n v="8800"/>
    <n v="440"/>
    <x v="1"/>
    <n v="66000"/>
    <n v="0.05"/>
    <n v="0.66"/>
    <n v="10.28"/>
  </r>
  <r>
    <x v="129"/>
    <x v="1"/>
    <x v="4"/>
    <x v="0"/>
    <x v="2"/>
    <x v="2"/>
    <x v="1"/>
    <n v="5550"/>
    <n v="170000"/>
    <n v="6800"/>
    <n v="340"/>
    <x v="1"/>
    <n v="51000"/>
    <n v="0.04"/>
    <n v="0.82"/>
    <n v="8.19"/>
  </r>
  <r>
    <x v="130"/>
    <x v="1"/>
    <x v="18"/>
    <x v="0"/>
    <x v="2"/>
    <x v="3"/>
    <x v="1"/>
    <n v="7300"/>
    <n v="76000"/>
    <n v="2280"/>
    <n v="114"/>
    <x v="1"/>
    <n v="28500"/>
    <n v="0.03"/>
    <n v="3.2"/>
    <n v="2.9"/>
  </r>
  <r>
    <x v="131"/>
    <x v="1"/>
    <x v="1"/>
    <x v="1"/>
    <x v="9"/>
    <x v="0"/>
    <x v="1"/>
    <n v="5950"/>
    <n v="179000"/>
    <n v="8950"/>
    <n v="448"/>
    <x v="1"/>
    <n v="67125"/>
    <n v="0.05"/>
    <n v="0.66"/>
    <n v="10.28"/>
  </r>
  <r>
    <x v="132"/>
    <x v="1"/>
    <x v="18"/>
    <x v="0"/>
    <x v="4"/>
    <x v="1"/>
    <x v="1"/>
    <n v="5150"/>
    <n v="156000"/>
    <n v="6240"/>
    <n v="312"/>
    <x v="1"/>
    <n v="46800"/>
    <n v="0.04"/>
    <n v="0.82"/>
    <n v="8.09"/>
  </r>
  <r>
    <x v="133"/>
    <x v="0"/>
    <x v="7"/>
    <x v="2"/>
    <x v="3"/>
    <x v="0"/>
    <x v="1"/>
    <n v="6050"/>
    <n v="182000"/>
    <n v="9100"/>
    <n v="455"/>
    <x v="1"/>
    <n v="68250"/>
    <n v="0.05"/>
    <n v="0.66"/>
    <n v="10.28"/>
  </r>
  <r>
    <x v="134"/>
    <x v="3"/>
    <x v="5"/>
    <x v="2"/>
    <x v="2"/>
    <x v="2"/>
    <x v="3"/>
    <n v="5650"/>
    <n v="173000"/>
    <n v="6920"/>
    <n v="346"/>
    <x v="1"/>
    <n v="51900"/>
    <n v="0.04"/>
    <n v="0.82"/>
    <n v="8.19"/>
  </r>
  <r>
    <x v="135"/>
    <x v="3"/>
    <x v="13"/>
    <x v="1"/>
    <x v="9"/>
    <x v="3"/>
    <x v="3"/>
    <n v="7400"/>
    <n v="77000"/>
    <n v="2310"/>
    <n v="116"/>
    <x v="1"/>
    <n v="28875"/>
    <n v="0.03"/>
    <n v="3.2"/>
    <n v="2.9"/>
  </r>
  <r>
    <x v="136"/>
    <x v="1"/>
    <x v="4"/>
    <x v="0"/>
    <x v="4"/>
    <x v="0"/>
    <x v="3"/>
    <n v="6150"/>
    <n v="185000"/>
    <n v="9250"/>
    <n v="462"/>
    <x v="1"/>
    <n v="69375"/>
    <n v="0.05"/>
    <n v="0.66"/>
    <n v="10.28"/>
  </r>
  <r>
    <x v="137"/>
    <x v="3"/>
    <x v="18"/>
    <x v="0"/>
    <x v="1"/>
    <x v="1"/>
    <x v="3"/>
    <n v="5250"/>
    <n v="159000"/>
    <n v="6360"/>
    <n v="318"/>
    <x v="1"/>
    <n v="47700"/>
    <n v="0.04"/>
    <n v="0.82"/>
    <n v="8.09"/>
  </r>
  <r>
    <x v="138"/>
    <x v="0"/>
    <x v="4"/>
    <x v="0"/>
    <x v="6"/>
    <x v="0"/>
    <x v="3"/>
    <n v="6250"/>
    <n v="188000"/>
    <n v="9400"/>
    <n v="470"/>
    <x v="1"/>
    <n v="70500"/>
    <n v="0.05"/>
    <n v="0.66"/>
    <n v="10.28"/>
  </r>
  <r>
    <x v="139"/>
    <x v="2"/>
    <x v="4"/>
    <x v="0"/>
    <x v="0"/>
    <x v="2"/>
    <x v="3"/>
    <n v="5750"/>
    <n v="176000"/>
    <n v="7040"/>
    <n v="352"/>
    <x v="1"/>
    <n v="52800"/>
    <n v="0.04"/>
    <n v="0.82"/>
    <n v="8.18"/>
  </r>
  <r>
    <x v="140"/>
    <x v="2"/>
    <x v="13"/>
    <x v="1"/>
    <x v="2"/>
    <x v="3"/>
    <x v="3"/>
    <n v="7500"/>
    <n v="78000"/>
    <n v="2340"/>
    <n v="117"/>
    <x v="1"/>
    <n v="29250"/>
    <n v="0.03"/>
    <n v="3.21"/>
    <n v="2.9"/>
  </r>
  <r>
    <x v="141"/>
    <x v="0"/>
    <x v="18"/>
    <x v="0"/>
    <x v="2"/>
    <x v="0"/>
    <x v="3"/>
    <n v="6350"/>
    <n v="191000"/>
    <n v="9550"/>
    <n v="478"/>
    <x v="1"/>
    <n v="71625"/>
    <n v="0.05"/>
    <n v="0.66"/>
    <n v="10.28"/>
  </r>
  <r>
    <x v="142"/>
    <x v="1"/>
    <x v="4"/>
    <x v="0"/>
    <x v="3"/>
    <x v="1"/>
    <x v="3"/>
    <n v="5350"/>
    <n v="162000"/>
    <n v="6480"/>
    <n v="324"/>
    <x v="1"/>
    <n v="48600"/>
    <n v="0.04"/>
    <n v="0.82"/>
    <n v="8.09"/>
  </r>
  <r>
    <x v="143"/>
    <x v="3"/>
    <x v="7"/>
    <x v="2"/>
    <x v="1"/>
    <x v="0"/>
    <x v="3"/>
    <n v="6450"/>
    <n v="194000"/>
    <n v="9700"/>
    <n v="485"/>
    <x v="1"/>
    <n v="72750"/>
    <n v="0.05"/>
    <n v="0.66"/>
    <n v="10.28"/>
  </r>
  <r>
    <x v="144"/>
    <x v="1"/>
    <x v="15"/>
    <x v="2"/>
    <x v="1"/>
    <x v="2"/>
    <x v="3"/>
    <n v="5850"/>
    <n v="179000"/>
    <n v="7160"/>
    <n v="358"/>
    <x v="1"/>
    <n v="53700"/>
    <n v="0.04"/>
    <n v="0.82"/>
    <n v="8.18"/>
  </r>
  <r>
    <x v="145"/>
    <x v="0"/>
    <x v="5"/>
    <x v="2"/>
    <x v="2"/>
    <x v="3"/>
    <x v="3"/>
    <n v="7600"/>
    <n v="79000"/>
    <n v="2370"/>
    <n v="118"/>
    <x v="1"/>
    <n v="29625"/>
    <n v="0.03"/>
    <n v="3.21"/>
    <n v="2.9"/>
  </r>
  <r>
    <x v="146"/>
    <x v="2"/>
    <x v="14"/>
    <x v="0"/>
    <x v="1"/>
    <x v="0"/>
    <x v="3"/>
    <n v="6550"/>
    <n v="197000"/>
    <n v="9850"/>
    <n v="492"/>
    <x v="1"/>
    <n v="73875"/>
    <n v="0.05"/>
    <n v="0.66"/>
    <n v="10.28"/>
  </r>
  <r>
    <x v="147"/>
    <x v="3"/>
    <x v="7"/>
    <x v="2"/>
    <x v="1"/>
    <x v="1"/>
    <x v="3"/>
    <n v="5450"/>
    <n v="165000"/>
    <n v="6600"/>
    <n v="330"/>
    <x v="1"/>
    <n v="49500"/>
    <n v="0.04"/>
    <n v="0.82"/>
    <n v="8.09"/>
  </r>
  <r>
    <x v="148"/>
    <x v="3"/>
    <x v="0"/>
    <x v="0"/>
    <x v="6"/>
    <x v="0"/>
    <x v="3"/>
    <n v="6650"/>
    <n v="200000"/>
    <n v="10000"/>
    <n v="500"/>
    <x v="1"/>
    <n v="75000"/>
    <n v="0.05"/>
    <n v="0.67"/>
    <n v="10.28"/>
  </r>
  <r>
    <x v="149"/>
    <x v="0"/>
    <x v="11"/>
    <x v="2"/>
    <x v="1"/>
    <x v="2"/>
    <x v="3"/>
    <n v="5950"/>
    <n v="182000"/>
    <n v="7280"/>
    <n v="364"/>
    <x v="1"/>
    <n v="54600"/>
    <n v="0.04"/>
    <n v="0.82"/>
    <n v="8.18"/>
  </r>
  <r>
    <x v="150"/>
    <x v="0"/>
    <x v="4"/>
    <x v="0"/>
    <x v="2"/>
    <x v="3"/>
    <x v="3"/>
    <n v="7700"/>
    <n v="80000"/>
    <n v="2400"/>
    <n v="120"/>
    <x v="1"/>
    <n v="30000"/>
    <n v="0.03"/>
    <n v="3.21"/>
    <n v="2.9"/>
  </r>
  <r>
    <x v="240"/>
    <x v="1"/>
    <x v="3"/>
    <x v="1"/>
    <x v="4"/>
    <x v="0"/>
    <x v="1"/>
    <n v="2350"/>
    <n v="75000"/>
    <n v="3750"/>
    <n v="188"/>
    <x v="1"/>
    <n v="28125"/>
    <n v="0.05"/>
    <n v="0.63"/>
    <n v="10.97"/>
  </r>
  <r>
    <x v="163"/>
    <x v="0"/>
    <x v="11"/>
    <x v="2"/>
    <x v="1"/>
    <x v="2"/>
    <x v="1"/>
    <n v="3750"/>
    <n v="117000"/>
    <n v="4680"/>
    <n v="234"/>
    <x v="1"/>
    <n v="35100"/>
    <n v="0.04"/>
    <n v="0.8"/>
    <n v="8.36"/>
  </r>
  <r>
    <x v="316"/>
    <x v="3"/>
    <x v="6"/>
    <x v="0"/>
    <x v="2"/>
    <x v="2"/>
    <x v="2"/>
    <n v="3750"/>
    <n v="118000"/>
    <n v="4720"/>
    <n v="236"/>
    <x v="1"/>
    <n v="35400"/>
    <n v="0.04"/>
    <n v="0.79"/>
    <n v="8.44"/>
  </r>
  <r>
    <x v="67"/>
    <x v="3"/>
    <x v="0"/>
    <x v="0"/>
    <x v="2"/>
    <x v="1"/>
    <x v="1"/>
    <n v="3283.84"/>
    <n v="5414"/>
    <n v="643"/>
    <n v="4"/>
    <x v="6"/>
    <n v="19911.599999999999"/>
    <n v="0.1188"/>
    <n v="5.1100000000000003"/>
    <n v="5.0635000000000003"/>
  </r>
  <r>
    <x v="624"/>
    <x v="0"/>
    <x v="2"/>
    <x v="0"/>
    <x v="11"/>
    <x v="0"/>
    <x v="2"/>
    <n v="3250"/>
    <n v="98000"/>
    <n v="4900"/>
    <n v="245"/>
    <x v="1"/>
    <n v="36750"/>
    <n v="0.05"/>
    <n v="0.66"/>
    <n v="10.31"/>
  </r>
  <r>
    <x v="592"/>
    <x v="3"/>
    <x v="17"/>
    <x v="2"/>
    <x v="10"/>
    <x v="0"/>
    <x v="1"/>
    <n v="5550"/>
    <n v="167000"/>
    <n v="8350"/>
    <n v="418"/>
    <x v="1"/>
    <n v="62625"/>
    <n v="0.05"/>
    <n v="0.66"/>
    <n v="10.28"/>
  </r>
  <r>
    <x v="0"/>
    <x v="2"/>
    <x v="5"/>
    <x v="2"/>
    <x v="2"/>
    <x v="0"/>
    <x v="3"/>
    <n v="2250"/>
    <n v="73000"/>
    <n v="3650"/>
    <n v="182"/>
    <x v="1"/>
    <n v="27375"/>
    <n v="0.05"/>
    <n v="0.62"/>
    <n v="11.17"/>
  </r>
  <r>
    <x v="145"/>
    <x v="3"/>
    <x v="15"/>
    <x v="2"/>
    <x v="7"/>
    <x v="3"/>
    <x v="3"/>
    <n v="7600"/>
    <n v="79000"/>
    <n v="2370"/>
    <n v="118"/>
    <x v="1"/>
    <n v="29625"/>
    <n v="0.03"/>
    <n v="3.21"/>
    <n v="2.9"/>
  </r>
  <r>
    <x v="480"/>
    <x v="0"/>
    <x v="15"/>
    <x v="2"/>
    <x v="10"/>
    <x v="0"/>
    <x v="2"/>
    <n v="4850"/>
    <n v="146000"/>
    <n v="7300"/>
    <n v="365"/>
    <x v="1"/>
    <n v="54750"/>
    <n v="0.05"/>
    <n v="0.66"/>
    <n v="10.29"/>
  </r>
  <r>
    <x v="344"/>
    <x v="3"/>
    <x v="4"/>
    <x v="0"/>
    <x v="6"/>
    <x v="1"/>
    <x v="3"/>
    <n v="3650"/>
    <n v="111000"/>
    <n v="4440"/>
    <n v="222"/>
    <x v="1"/>
    <n v="33300"/>
    <n v="0.04"/>
    <n v="0.82"/>
    <n v="8.1199999999999992"/>
  </r>
  <r>
    <x v="80"/>
    <x v="2"/>
    <x v="6"/>
    <x v="0"/>
    <x v="4"/>
    <x v="1"/>
    <x v="1"/>
    <n v="688.4"/>
    <n v="4477"/>
    <n v="205"/>
    <n v="38"/>
    <x v="16"/>
    <n v="17378.22"/>
    <n v="4.58E-2"/>
    <n v="3.36"/>
    <n v="24.244399999999999"/>
  </r>
  <r>
    <x v="649"/>
    <x v="0"/>
    <x v="8"/>
    <x v="1"/>
    <x v="6"/>
    <x v="2"/>
    <x v="0"/>
    <n v="3100"/>
    <n v="98000"/>
    <n v="3920"/>
    <n v="196"/>
    <x v="1"/>
    <n v="29400"/>
    <n v="0.04"/>
    <n v="0.79"/>
    <n v="8.48"/>
  </r>
  <r>
    <x v="481"/>
    <x v="2"/>
    <x v="12"/>
    <x v="0"/>
    <x v="9"/>
    <x v="2"/>
    <x v="2"/>
    <n v="5150"/>
    <n v="158000"/>
    <n v="6320"/>
    <n v="316"/>
    <x v="1"/>
    <n v="47400"/>
    <n v="0.04"/>
    <n v="0.81"/>
    <n v="8.1999999999999993"/>
  </r>
  <r>
    <x v="546"/>
    <x v="0"/>
    <x v="7"/>
    <x v="2"/>
    <x v="10"/>
    <x v="3"/>
    <x v="1"/>
    <n v="6200"/>
    <n v="65000"/>
    <n v="1950"/>
    <n v="98"/>
    <x v="1"/>
    <n v="24375"/>
    <n v="0.03"/>
    <n v="3.18"/>
    <n v="2.93"/>
  </r>
  <r>
    <x v="510"/>
    <x v="0"/>
    <x v="15"/>
    <x v="2"/>
    <x v="1"/>
    <x v="0"/>
    <x v="3"/>
    <n v="6050"/>
    <n v="182000"/>
    <n v="9100"/>
    <n v="455"/>
    <x v="1"/>
    <n v="68250"/>
    <n v="0.05"/>
    <n v="0.66"/>
    <n v="10.28"/>
  </r>
  <r>
    <x v="287"/>
    <x v="3"/>
    <x v="7"/>
    <x v="2"/>
    <x v="0"/>
    <x v="0"/>
    <x v="1"/>
    <n v="2150"/>
    <n v="73000"/>
    <n v="3650"/>
    <n v="182"/>
    <x v="1"/>
    <n v="27375"/>
    <n v="0.05"/>
    <n v="0.59"/>
    <n v="11.73"/>
  </r>
  <r>
    <x v="248"/>
    <x v="3"/>
    <x v="5"/>
    <x v="2"/>
    <x v="6"/>
    <x v="3"/>
    <x v="3"/>
    <n v="5900"/>
    <n v="62000"/>
    <n v="1860"/>
    <n v="93"/>
    <x v="1"/>
    <n v="23250"/>
    <n v="0.03"/>
    <n v="3.17"/>
    <n v="2.94"/>
  </r>
  <r>
    <x v="282"/>
    <x v="3"/>
    <x v="4"/>
    <x v="0"/>
    <x v="2"/>
    <x v="0"/>
    <x v="2"/>
    <n v="2550"/>
    <n v="79000"/>
    <n v="3950"/>
    <n v="198"/>
    <x v="1"/>
    <n v="29625"/>
    <n v="0.05"/>
    <n v="0.65"/>
    <n v="10.62"/>
  </r>
  <r>
    <x v="77"/>
    <x v="2"/>
    <x v="0"/>
    <x v="0"/>
    <x v="2"/>
    <x v="3"/>
    <x v="0"/>
    <n v="1957.63"/>
    <n v="6396"/>
    <n v="191"/>
    <n v="17"/>
    <x v="14"/>
    <n v="4503.55"/>
    <n v="2.9899999999999999E-2"/>
    <n v="10.25"/>
    <n v="1.3005"/>
  </r>
  <r>
    <x v="364"/>
    <x v="1"/>
    <x v="15"/>
    <x v="2"/>
    <x v="10"/>
    <x v="0"/>
    <x v="0"/>
    <n v="2250"/>
    <n v="74000"/>
    <n v="3700"/>
    <n v="185"/>
    <x v="1"/>
    <n v="27750"/>
    <n v="0.05"/>
    <n v="0.61"/>
    <n v="11.33"/>
  </r>
  <r>
    <x v="213"/>
    <x v="3"/>
    <x v="7"/>
    <x v="2"/>
    <x v="2"/>
    <x v="0"/>
    <x v="3"/>
    <n v="2400"/>
    <n v="77000"/>
    <n v="3850"/>
    <n v="192"/>
    <x v="1"/>
    <n v="28875"/>
    <n v="0.05"/>
    <n v="0.62"/>
    <n v="11.03"/>
  </r>
  <r>
    <x v="576"/>
    <x v="1"/>
    <x v="0"/>
    <x v="0"/>
    <x v="6"/>
    <x v="3"/>
    <x v="2"/>
    <n v="6800"/>
    <n v="71000"/>
    <n v="2130"/>
    <n v="106"/>
    <x v="1"/>
    <n v="26625"/>
    <n v="0.03"/>
    <n v="3.19"/>
    <n v="2.92"/>
  </r>
  <r>
    <x v="479"/>
    <x v="0"/>
    <x v="19"/>
    <x v="2"/>
    <x v="0"/>
    <x v="1"/>
    <x v="2"/>
    <n v="4650"/>
    <n v="141000"/>
    <n v="5640"/>
    <n v="282"/>
    <x v="1"/>
    <n v="42300"/>
    <n v="0.04"/>
    <n v="0.82"/>
    <n v="8.1"/>
  </r>
  <r>
    <x v="515"/>
    <x v="0"/>
    <x v="12"/>
    <x v="0"/>
    <x v="0"/>
    <x v="1"/>
    <x v="0"/>
    <n v="2950"/>
    <n v="90000"/>
    <n v="3600"/>
    <n v="180"/>
    <x v="1"/>
    <n v="27000"/>
    <n v="0.04"/>
    <n v="0.82"/>
    <n v="8.15"/>
  </r>
  <r>
    <x v="8"/>
    <x v="3"/>
    <x v="12"/>
    <x v="0"/>
    <x v="0"/>
    <x v="3"/>
    <x v="2"/>
    <n v="3091.34"/>
    <n v="4665"/>
    <n v="150"/>
    <n v="37"/>
    <x v="7"/>
    <n v="18223.16"/>
    <n v="3.2199999999999999E-2"/>
    <n v="20.61"/>
    <n v="4.8948999999999998"/>
  </r>
  <r>
    <x v="659"/>
    <x v="3"/>
    <x v="18"/>
    <x v="0"/>
    <x v="3"/>
    <x v="3"/>
    <x v="0"/>
    <n v="5600"/>
    <n v="59000"/>
    <n v="1770"/>
    <n v="88"/>
    <x v="1"/>
    <n v="22125"/>
    <n v="0.03"/>
    <n v="3.16"/>
    <n v="2.95"/>
  </r>
  <r>
    <x v="189"/>
    <x v="2"/>
    <x v="0"/>
    <x v="0"/>
    <x v="4"/>
    <x v="2"/>
    <x v="1"/>
    <n v="3800"/>
    <n v="118000"/>
    <n v="4720"/>
    <n v="236"/>
    <x v="1"/>
    <n v="35400"/>
    <n v="0.04"/>
    <n v="0.81"/>
    <n v="8.32"/>
  </r>
  <r>
    <x v="131"/>
    <x v="3"/>
    <x v="9"/>
    <x v="2"/>
    <x v="9"/>
    <x v="0"/>
    <x v="1"/>
    <n v="5950"/>
    <n v="179000"/>
    <n v="8950"/>
    <n v="448"/>
    <x v="1"/>
    <n v="67125"/>
    <n v="0.05"/>
    <n v="0.66"/>
    <n v="10.28"/>
  </r>
  <r>
    <x v="146"/>
    <x v="1"/>
    <x v="7"/>
    <x v="2"/>
    <x v="2"/>
    <x v="0"/>
    <x v="3"/>
    <n v="6550"/>
    <n v="197000"/>
    <n v="9850"/>
    <n v="492"/>
    <x v="1"/>
    <n v="73875"/>
    <n v="0.05"/>
    <n v="0.66"/>
    <n v="10.28"/>
  </r>
  <r>
    <x v="1"/>
    <x v="3"/>
    <x v="17"/>
    <x v="2"/>
    <x v="1"/>
    <x v="3"/>
    <x v="3"/>
    <n v="5500"/>
    <n v="57000"/>
    <n v="1710"/>
    <n v="86"/>
    <x v="1"/>
    <n v="21375"/>
    <n v="0.03"/>
    <n v="3.22"/>
    <n v="2.89"/>
  </r>
  <r>
    <x v="458"/>
    <x v="1"/>
    <x v="2"/>
    <x v="0"/>
    <x v="6"/>
    <x v="0"/>
    <x v="3"/>
    <n v="3950"/>
    <n v="119000"/>
    <n v="5950"/>
    <n v="298"/>
    <x v="1"/>
    <n v="44625"/>
    <n v="0.05"/>
    <n v="0.66"/>
    <n v="10.3"/>
  </r>
  <r>
    <x v="8"/>
    <x v="1"/>
    <x v="5"/>
    <x v="2"/>
    <x v="3"/>
    <x v="3"/>
    <x v="2"/>
    <n v="3091.34"/>
    <n v="4665"/>
    <n v="150"/>
    <n v="37"/>
    <x v="7"/>
    <n v="18223.16"/>
    <n v="3.2199999999999999E-2"/>
    <n v="20.61"/>
    <n v="4.8948999999999998"/>
  </r>
  <r>
    <x v="25"/>
    <x v="3"/>
    <x v="16"/>
    <x v="0"/>
    <x v="0"/>
    <x v="0"/>
    <x v="0"/>
    <n v="1532.29"/>
    <n v="8742"/>
    <n v="635"/>
    <n v="20"/>
    <x v="2"/>
    <n v="5409.03"/>
    <n v="7.2599999999999998E-2"/>
    <n v="2.41"/>
    <n v="2.5299999999999998"/>
  </r>
  <r>
    <x v="413"/>
    <x v="0"/>
    <x v="17"/>
    <x v="2"/>
    <x v="1"/>
    <x v="0"/>
    <x v="0"/>
    <n v="2050"/>
    <n v="70000"/>
    <n v="3500"/>
    <n v="175"/>
    <x v="1"/>
    <n v="26250"/>
    <n v="0.05"/>
    <n v="0.59"/>
    <n v="11.8"/>
  </r>
  <r>
    <x v="233"/>
    <x v="3"/>
    <x v="10"/>
    <x v="1"/>
    <x v="6"/>
    <x v="3"/>
    <x v="1"/>
    <n v="5500"/>
    <n v="59000"/>
    <n v="1770"/>
    <n v="88"/>
    <x v="1"/>
    <n v="22125"/>
    <n v="0.03"/>
    <n v="3.11"/>
    <n v="3.02"/>
  </r>
  <r>
    <x v="132"/>
    <x v="3"/>
    <x v="6"/>
    <x v="0"/>
    <x v="2"/>
    <x v="1"/>
    <x v="1"/>
    <n v="5150"/>
    <n v="156000"/>
    <n v="6240"/>
    <n v="312"/>
    <x v="1"/>
    <n v="46800"/>
    <n v="0.04"/>
    <n v="0.82"/>
    <n v="8.09"/>
  </r>
  <r>
    <x v="24"/>
    <x v="3"/>
    <x v="10"/>
    <x v="1"/>
    <x v="0"/>
    <x v="0"/>
    <x v="2"/>
    <n v="1203.33"/>
    <n v="5425"/>
    <n v="764"/>
    <n v="36"/>
    <x v="1"/>
    <n v="2873.42"/>
    <n v="0.14080000000000001"/>
    <n v="1.58"/>
    <n v="1.3878999999999999"/>
  </r>
  <r>
    <x v="32"/>
    <x v="2"/>
    <x v="8"/>
    <x v="1"/>
    <x v="10"/>
    <x v="0"/>
    <x v="1"/>
    <n v="1700"/>
    <n v="64000"/>
    <n v="3200"/>
    <n v="160"/>
    <x v="1"/>
    <n v="24000"/>
    <n v="0.05"/>
    <n v="0.53"/>
    <n v="13.12"/>
  </r>
  <r>
    <x v="97"/>
    <x v="3"/>
    <x v="9"/>
    <x v="2"/>
    <x v="2"/>
    <x v="3"/>
    <x v="0"/>
    <n v="5600"/>
    <n v="60000"/>
    <n v="1800"/>
    <n v="90"/>
    <x v="1"/>
    <n v="22500"/>
    <n v="0.03"/>
    <n v="3.11"/>
    <n v="3.02"/>
  </r>
  <r>
    <x v="390"/>
    <x v="0"/>
    <x v="12"/>
    <x v="0"/>
    <x v="2"/>
    <x v="3"/>
    <x v="1"/>
    <n v="5800"/>
    <n v="62000"/>
    <n v="1860"/>
    <n v="93"/>
    <x v="1"/>
    <n v="23250"/>
    <n v="0.03"/>
    <n v="3.12"/>
    <n v="3.01"/>
  </r>
  <r>
    <x v="225"/>
    <x v="0"/>
    <x v="16"/>
    <x v="0"/>
    <x v="5"/>
    <x v="0"/>
    <x v="2"/>
    <n v="2250"/>
    <n v="74000"/>
    <n v="3700"/>
    <n v="185"/>
    <x v="1"/>
    <n v="27750"/>
    <n v="0.05"/>
    <n v="0.61"/>
    <n v="11.33"/>
  </r>
  <r>
    <x v="133"/>
    <x v="3"/>
    <x v="18"/>
    <x v="0"/>
    <x v="9"/>
    <x v="0"/>
    <x v="1"/>
    <n v="2400"/>
    <n v="76000"/>
    <n v="3800"/>
    <n v="190"/>
    <x v="1"/>
    <n v="28500"/>
    <n v="0.05"/>
    <n v="0.63"/>
    <n v="10.88"/>
  </r>
  <r>
    <x v="102"/>
    <x v="0"/>
    <x v="10"/>
    <x v="1"/>
    <x v="4"/>
    <x v="3"/>
    <x v="1"/>
    <n v="5700"/>
    <n v="59000"/>
    <n v="1770"/>
    <n v="88"/>
    <x v="1"/>
    <n v="22125"/>
    <n v="0.03"/>
    <n v="3.22"/>
    <n v="2.88"/>
  </r>
  <r>
    <x v="544"/>
    <x v="0"/>
    <x v="18"/>
    <x v="0"/>
    <x v="1"/>
    <x v="0"/>
    <x v="1"/>
    <n v="3550"/>
    <n v="107000"/>
    <n v="5350"/>
    <n v="268"/>
    <x v="1"/>
    <n v="40125"/>
    <n v="0.05"/>
    <n v="0.66"/>
    <n v="10.3"/>
  </r>
  <r>
    <x v="644"/>
    <x v="3"/>
    <x v="17"/>
    <x v="2"/>
    <x v="10"/>
    <x v="0"/>
    <x v="3"/>
    <n v="2150"/>
    <n v="71000"/>
    <n v="3550"/>
    <n v="178"/>
    <x v="1"/>
    <n v="26625"/>
    <n v="0.05"/>
    <n v="0.61"/>
    <n v="11.38"/>
  </r>
  <r>
    <x v="622"/>
    <x v="0"/>
    <x v="5"/>
    <x v="2"/>
    <x v="2"/>
    <x v="2"/>
    <x v="2"/>
    <n v="3700"/>
    <n v="115000"/>
    <n v="4600"/>
    <n v="230"/>
    <x v="1"/>
    <n v="34500"/>
    <n v="0.04"/>
    <n v="0.8"/>
    <n v="8.32"/>
  </r>
  <r>
    <x v="660"/>
    <x v="0"/>
    <x v="3"/>
    <x v="1"/>
    <x v="3"/>
    <x v="1"/>
    <x v="0"/>
    <n v="2950"/>
    <n v="88000"/>
    <n v="3520"/>
    <n v="176"/>
    <x v="1"/>
    <n v="26400"/>
    <n v="0.04"/>
    <n v="0.84"/>
    <n v="7.95"/>
  </r>
  <r>
    <x v="352"/>
    <x v="0"/>
    <x v="7"/>
    <x v="2"/>
    <x v="10"/>
    <x v="0"/>
    <x v="3"/>
    <n v="2850"/>
    <n v="86000"/>
    <n v="4300"/>
    <n v="215"/>
    <x v="1"/>
    <n v="32250"/>
    <n v="0.05"/>
    <n v="0.66"/>
    <n v="10.32"/>
  </r>
  <r>
    <x v="259"/>
    <x v="3"/>
    <x v="11"/>
    <x v="2"/>
    <x v="6"/>
    <x v="1"/>
    <x v="0"/>
    <n v="2350"/>
    <n v="75000"/>
    <n v="3750"/>
    <n v="188"/>
    <x v="1"/>
    <n v="28125"/>
    <n v="0.05"/>
    <n v="0.63"/>
    <n v="10.97"/>
  </r>
  <r>
    <x v="158"/>
    <x v="3"/>
    <x v="1"/>
    <x v="1"/>
    <x v="6"/>
    <x v="2"/>
    <x v="1"/>
    <n v="2850"/>
    <n v="91000"/>
    <n v="3640"/>
    <n v="182"/>
    <x v="1"/>
    <n v="27300"/>
    <n v="0.04"/>
    <n v="0.78"/>
    <n v="8.58"/>
  </r>
  <r>
    <x v="118"/>
    <x v="0"/>
    <x v="2"/>
    <x v="0"/>
    <x v="6"/>
    <x v="1"/>
    <x v="2"/>
    <n v="3000"/>
    <n v="91000"/>
    <n v="3640"/>
    <n v="182"/>
    <x v="1"/>
    <n v="27300"/>
    <n v="0.04"/>
    <n v="0.82"/>
    <n v="8.1"/>
  </r>
  <r>
    <x v="133"/>
    <x v="2"/>
    <x v="1"/>
    <x v="1"/>
    <x v="2"/>
    <x v="0"/>
    <x v="1"/>
    <n v="6050"/>
    <n v="182000"/>
    <n v="9100"/>
    <n v="455"/>
    <x v="1"/>
    <n v="68250"/>
    <n v="0.05"/>
    <n v="0.66"/>
    <n v="10.28"/>
  </r>
  <r>
    <x v="362"/>
    <x v="3"/>
    <x v="12"/>
    <x v="0"/>
    <x v="10"/>
    <x v="0"/>
    <x v="0"/>
    <n v="2050"/>
    <n v="71000"/>
    <n v="3550"/>
    <n v="178"/>
    <x v="1"/>
    <n v="26625"/>
    <n v="0.05"/>
    <n v="0.57999999999999996"/>
    <n v="11.99"/>
  </r>
  <r>
    <x v="625"/>
    <x v="1"/>
    <x v="2"/>
    <x v="0"/>
    <x v="10"/>
    <x v="3"/>
    <x v="2"/>
    <n v="5600"/>
    <n v="60000"/>
    <n v="1800"/>
    <n v="90"/>
    <x v="1"/>
    <n v="22500"/>
    <n v="0.03"/>
    <n v="3.11"/>
    <n v="3.02"/>
  </r>
  <r>
    <x v="355"/>
    <x v="0"/>
    <x v="2"/>
    <x v="0"/>
    <x v="9"/>
    <x v="0"/>
    <x v="3"/>
    <n v="2750"/>
    <n v="84000"/>
    <n v="4200"/>
    <n v="210"/>
    <x v="1"/>
    <n v="31500"/>
    <n v="0.05"/>
    <n v="0.65"/>
    <n v="10.45"/>
  </r>
  <r>
    <x v="170"/>
    <x v="2"/>
    <x v="14"/>
    <x v="0"/>
    <x v="2"/>
    <x v="0"/>
    <x v="3"/>
    <n v="2450"/>
    <n v="77000"/>
    <n v="3850"/>
    <n v="192"/>
    <x v="1"/>
    <n v="28875"/>
    <n v="0.05"/>
    <n v="0.64"/>
    <n v="10.79"/>
  </r>
  <r>
    <x v="467"/>
    <x v="0"/>
    <x v="8"/>
    <x v="1"/>
    <x v="0"/>
    <x v="3"/>
    <x v="0"/>
    <n v="6700"/>
    <n v="70000"/>
    <n v="2100"/>
    <n v="105"/>
    <x v="1"/>
    <n v="26250"/>
    <n v="0.03"/>
    <n v="3.19"/>
    <n v="2.92"/>
  </r>
  <r>
    <x v="653"/>
    <x v="0"/>
    <x v="1"/>
    <x v="1"/>
    <x v="10"/>
    <x v="3"/>
    <x v="0"/>
    <n v="5500"/>
    <n v="59000"/>
    <n v="1770"/>
    <n v="88"/>
    <x v="1"/>
    <n v="22125"/>
    <n v="0.03"/>
    <n v="3.11"/>
    <n v="3.02"/>
  </r>
  <r>
    <x v="260"/>
    <x v="3"/>
    <x v="14"/>
    <x v="0"/>
    <x v="5"/>
    <x v="3"/>
    <x v="0"/>
    <n v="4900"/>
    <n v="53000"/>
    <n v="1590"/>
    <n v="80"/>
    <x v="1"/>
    <n v="19875"/>
    <n v="0.03"/>
    <n v="3.08"/>
    <n v="3.06"/>
  </r>
  <r>
    <x v="661"/>
    <x v="2"/>
    <x v="11"/>
    <x v="2"/>
    <x v="6"/>
    <x v="0"/>
    <x v="0"/>
    <n v="1650"/>
    <n v="62000"/>
    <n v="3100"/>
    <n v="155"/>
    <x v="1"/>
    <n v="23250"/>
    <n v="0.05"/>
    <n v="0.53"/>
    <n v="13.09"/>
  </r>
  <r>
    <x v="662"/>
    <x v="3"/>
    <x v="2"/>
    <x v="0"/>
    <x v="6"/>
    <x v="2"/>
    <x v="0"/>
    <n v="3250"/>
    <n v="102000"/>
    <n v="4080"/>
    <n v="204"/>
    <x v="1"/>
    <n v="30600"/>
    <n v="0.04"/>
    <n v="0.8"/>
    <n v="8.42"/>
  </r>
  <r>
    <x v="663"/>
    <x v="2"/>
    <x v="15"/>
    <x v="2"/>
    <x v="4"/>
    <x v="1"/>
    <x v="0"/>
    <n v="2650"/>
    <n v="82000"/>
    <n v="3280"/>
    <n v="164"/>
    <x v="1"/>
    <n v="24600"/>
    <n v="0.04"/>
    <n v="0.81"/>
    <n v="8.2799999999999994"/>
  </r>
  <r>
    <x v="664"/>
    <x v="2"/>
    <x v="9"/>
    <x v="2"/>
    <x v="10"/>
    <x v="3"/>
    <x v="0"/>
    <n v="5400"/>
    <n v="58000"/>
    <n v="1740"/>
    <n v="87"/>
    <x v="1"/>
    <n v="21750"/>
    <n v="0.03"/>
    <n v="3.1"/>
    <n v="3.03"/>
  </r>
  <r>
    <x v="665"/>
    <x v="3"/>
    <x v="0"/>
    <x v="0"/>
    <x v="10"/>
    <x v="1"/>
    <x v="0"/>
    <n v="3050"/>
    <n v="94000"/>
    <n v="3760"/>
    <n v="188"/>
    <x v="1"/>
    <n v="28200"/>
    <n v="0.04"/>
    <n v="0.81"/>
    <n v="8.25"/>
  </r>
  <r>
    <x v="666"/>
    <x v="2"/>
    <x v="2"/>
    <x v="0"/>
    <x v="2"/>
    <x v="0"/>
    <x v="0"/>
    <n v="2350"/>
    <n v="75000"/>
    <n v="3750"/>
    <n v="188"/>
    <x v="1"/>
    <n v="28125"/>
    <n v="0.05"/>
    <n v="0.63"/>
    <n v="10.97"/>
  </r>
  <r>
    <x v="667"/>
    <x v="3"/>
    <x v="12"/>
    <x v="0"/>
    <x v="9"/>
    <x v="2"/>
    <x v="0"/>
    <n v="3750"/>
    <n v="117000"/>
    <n v="4680"/>
    <n v="234"/>
    <x v="1"/>
    <n v="35100"/>
    <n v="0.04"/>
    <n v="0.8"/>
    <n v="8.36"/>
  </r>
  <r>
    <x v="659"/>
    <x v="3"/>
    <x v="4"/>
    <x v="0"/>
    <x v="6"/>
    <x v="0"/>
    <x v="0"/>
    <n v="2550"/>
    <n v="79000"/>
    <n v="3950"/>
    <n v="198"/>
    <x v="1"/>
    <n v="29625"/>
    <n v="0.05"/>
    <n v="0.65"/>
    <n v="10.62"/>
  </r>
  <r>
    <x v="668"/>
    <x v="1"/>
    <x v="8"/>
    <x v="1"/>
    <x v="4"/>
    <x v="3"/>
    <x v="0"/>
    <n v="5800"/>
    <n v="61000"/>
    <n v="1830"/>
    <n v="92"/>
    <x v="1"/>
    <n v="22875"/>
    <n v="0.03"/>
    <n v="3.17"/>
    <n v="2.94"/>
  </r>
  <r>
    <x v="669"/>
    <x v="1"/>
    <x v="6"/>
    <x v="0"/>
    <x v="9"/>
    <x v="1"/>
    <x v="0"/>
    <n v="3350"/>
    <n v="102000"/>
    <n v="4080"/>
    <n v="204"/>
    <x v="1"/>
    <n v="30600"/>
    <n v="0.04"/>
    <n v="0.82"/>
    <n v="8.1300000000000008"/>
  </r>
  <r>
    <x v="670"/>
    <x v="3"/>
    <x v="9"/>
    <x v="2"/>
    <x v="2"/>
    <x v="0"/>
    <x v="0"/>
    <n v="2750"/>
    <n v="84000"/>
    <n v="4200"/>
    <n v="210"/>
    <x v="1"/>
    <n v="31500"/>
    <n v="0.05"/>
    <n v="0.65"/>
    <n v="10.45"/>
  </r>
  <r>
    <x v="671"/>
    <x v="3"/>
    <x v="1"/>
    <x v="1"/>
    <x v="3"/>
    <x v="2"/>
    <x v="2"/>
    <n v="4050"/>
    <n v="125000"/>
    <n v="5000"/>
    <n v="250"/>
    <x v="1"/>
    <n v="37500"/>
    <n v="0.04"/>
    <n v="0.81"/>
    <n v="8.26"/>
  </r>
  <r>
    <x v="672"/>
    <x v="3"/>
    <x v="16"/>
    <x v="0"/>
    <x v="0"/>
    <x v="0"/>
    <x v="2"/>
    <n v="2950"/>
    <n v="89000"/>
    <n v="4450"/>
    <n v="222"/>
    <x v="1"/>
    <n v="33375"/>
    <n v="0.05"/>
    <n v="0.66"/>
    <n v="10.31"/>
  </r>
  <r>
    <x v="673"/>
    <x v="3"/>
    <x v="15"/>
    <x v="2"/>
    <x v="2"/>
    <x v="3"/>
    <x v="2"/>
    <n v="6000"/>
    <n v="63000"/>
    <n v="1890"/>
    <n v="94"/>
    <x v="1"/>
    <n v="23625"/>
    <n v="0.03"/>
    <n v="3.17"/>
    <n v="2.94"/>
  </r>
  <r>
    <x v="674"/>
    <x v="1"/>
    <x v="1"/>
    <x v="1"/>
    <x v="10"/>
    <x v="1"/>
    <x v="2"/>
    <n v="3650"/>
    <n v="110000"/>
    <n v="4400"/>
    <n v="220"/>
    <x v="1"/>
    <n v="33000"/>
    <n v="0.04"/>
    <n v="0.83"/>
    <n v="8.0399999999999991"/>
  </r>
  <r>
    <x v="675"/>
    <x v="3"/>
    <x v="6"/>
    <x v="0"/>
    <x v="0"/>
    <x v="0"/>
    <x v="2"/>
    <n v="3150"/>
    <n v="95000"/>
    <n v="4750"/>
    <n v="238"/>
    <x v="1"/>
    <n v="35625"/>
    <n v="0.05"/>
    <n v="0.66"/>
    <n v="10.31"/>
  </r>
  <r>
    <x v="676"/>
    <x v="1"/>
    <x v="4"/>
    <x v="0"/>
    <x v="1"/>
    <x v="2"/>
    <x v="2"/>
    <n v="4250"/>
    <n v="131000"/>
    <n v="5240"/>
    <n v="262"/>
    <x v="1"/>
    <n v="39300"/>
    <n v="0.04"/>
    <n v="0.81"/>
    <n v="8.25"/>
  </r>
  <r>
    <x v="677"/>
    <x v="2"/>
    <x v="16"/>
    <x v="0"/>
    <x v="10"/>
    <x v="0"/>
    <x v="2"/>
    <n v="3350"/>
    <n v="101000"/>
    <n v="5050"/>
    <n v="252"/>
    <x v="1"/>
    <n v="37875"/>
    <n v="0.05"/>
    <n v="0.66"/>
    <n v="10.31"/>
  </r>
  <r>
    <x v="678"/>
    <x v="0"/>
    <x v="12"/>
    <x v="0"/>
    <x v="1"/>
    <x v="3"/>
    <x v="2"/>
    <n v="6100"/>
    <n v="64000"/>
    <n v="1920"/>
    <n v="96"/>
    <x v="1"/>
    <n v="24000"/>
    <n v="0.03"/>
    <n v="3.18"/>
    <n v="2.93"/>
  </r>
  <r>
    <x v="679"/>
    <x v="3"/>
    <x v="14"/>
    <x v="0"/>
    <x v="3"/>
    <x v="1"/>
    <x v="2"/>
    <n v="3850"/>
    <n v="117000"/>
    <n v="4680"/>
    <n v="234"/>
    <x v="1"/>
    <n v="35100"/>
    <n v="0.04"/>
    <n v="0.82"/>
    <n v="8.1199999999999992"/>
  </r>
  <r>
    <x v="680"/>
    <x v="0"/>
    <x v="14"/>
    <x v="0"/>
    <x v="10"/>
    <x v="0"/>
    <x v="2"/>
    <n v="3450"/>
    <n v="104000"/>
    <n v="5200"/>
    <n v="260"/>
    <x v="1"/>
    <n v="39000"/>
    <n v="0.05"/>
    <n v="0.66"/>
    <n v="10.3"/>
  </r>
  <r>
    <x v="681"/>
    <x v="1"/>
    <x v="19"/>
    <x v="2"/>
    <x v="9"/>
    <x v="2"/>
    <x v="2"/>
    <n v="4350"/>
    <n v="134000"/>
    <n v="5360"/>
    <n v="268"/>
    <x v="1"/>
    <n v="40200"/>
    <n v="0.04"/>
    <n v="0.81"/>
    <n v="8.24"/>
  </r>
  <r>
    <x v="682"/>
    <x v="1"/>
    <x v="0"/>
    <x v="0"/>
    <x v="9"/>
    <x v="0"/>
    <x v="2"/>
    <n v="3550"/>
    <n v="107000"/>
    <n v="5350"/>
    <n v="268"/>
    <x v="1"/>
    <n v="40125"/>
    <n v="0.05"/>
    <n v="0.66"/>
    <n v="10.3"/>
  </r>
  <r>
    <x v="683"/>
    <x v="0"/>
    <x v="7"/>
    <x v="2"/>
    <x v="10"/>
    <x v="3"/>
    <x v="2"/>
    <n v="6200"/>
    <n v="65000"/>
    <n v="1950"/>
    <n v="98"/>
    <x v="1"/>
    <n v="24375"/>
    <n v="0.03"/>
    <n v="3.18"/>
    <n v="2.93"/>
  </r>
  <r>
    <x v="151"/>
    <x v="0"/>
    <x v="1"/>
    <x v="1"/>
    <x v="8"/>
    <x v="1"/>
    <x v="1"/>
    <n v="3950"/>
    <n v="120000"/>
    <n v="4800"/>
    <n v="240"/>
    <x v="1"/>
    <n v="36000"/>
    <n v="0.04"/>
    <n v="0.82"/>
    <n v="8.11"/>
  </r>
  <r>
    <x v="152"/>
    <x v="0"/>
    <x v="18"/>
    <x v="0"/>
    <x v="6"/>
    <x v="0"/>
    <x v="1"/>
    <n v="3650"/>
    <n v="110000"/>
    <n v="5500"/>
    <n v="275"/>
    <x v="1"/>
    <n v="41250"/>
    <n v="0.05"/>
    <n v="0.66"/>
    <n v="10.3"/>
  </r>
  <r>
    <x v="153"/>
    <x v="0"/>
    <x v="18"/>
    <x v="0"/>
    <x v="9"/>
    <x v="2"/>
    <x v="1"/>
    <n v="4450"/>
    <n v="137000"/>
    <n v="5480"/>
    <n v="274"/>
    <x v="1"/>
    <n v="41100"/>
    <n v="0.04"/>
    <n v="0.81"/>
    <n v="8.24"/>
  </r>
  <r>
    <x v="154"/>
    <x v="2"/>
    <x v="18"/>
    <x v="0"/>
    <x v="2"/>
    <x v="0"/>
    <x v="1"/>
    <n v="3750"/>
    <n v="113000"/>
    <n v="5650"/>
    <n v="282"/>
    <x v="1"/>
    <n v="42375"/>
    <n v="0.05"/>
    <n v="0.66"/>
    <n v="10.3"/>
  </r>
  <r>
    <x v="155"/>
    <x v="0"/>
    <x v="15"/>
    <x v="2"/>
    <x v="9"/>
    <x v="3"/>
    <x v="1"/>
    <n v="6300"/>
    <n v="66000"/>
    <n v="1980"/>
    <n v="99"/>
    <x v="1"/>
    <n v="24750"/>
    <n v="0.03"/>
    <n v="3.18"/>
    <n v="2.93"/>
  </r>
  <r>
    <x v="156"/>
    <x v="1"/>
    <x v="3"/>
    <x v="1"/>
    <x v="8"/>
    <x v="1"/>
    <x v="1"/>
    <n v="4050"/>
    <n v="123000"/>
    <n v="4920"/>
    <n v="246"/>
    <x v="1"/>
    <n v="36900"/>
    <n v="0.04"/>
    <n v="0.82"/>
    <n v="8.11"/>
  </r>
  <r>
    <x v="157"/>
    <x v="1"/>
    <x v="0"/>
    <x v="0"/>
    <x v="6"/>
    <x v="0"/>
    <x v="1"/>
    <n v="3850"/>
    <n v="116000"/>
    <n v="5800"/>
    <n v="290"/>
    <x v="1"/>
    <n v="43500"/>
    <n v="0.05"/>
    <n v="0.66"/>
    <n v="10.3"/>
  </r>
  <r>
    <x v="158"/>
    <x v="3"/>
    <x v="15"/>
    <x v="2"/>
    <x v="3"/>
    <x v="2"/>
    <x v="1"/>
    <n v="4550"/>
    <n v="140000"/>
    <n v="5600"/>
    <n v="280"/>
    <x v="1"/>
    <n v="42000"/>
    <n v="0.04"/>
    <n v="0.81"/>
    <n v="8.23"/>
  </r>
  <r>
    <x v="159"/>
    <x v="3"/>
    <x v="2"/>
    <x v="0"/>
    <x v="4"/>
    <x v="0"/>
    <x v="1"/>
    <n v="3950"/>
    <n v="119000"/>
    <n v="5950"/>
    <n v="298"/>
    <x v="1"/>
    <n v="44625"/>
    <n v="0.05"/>
    <n v="0.66"/>
    <n v="10.3"/>
  </r>
  <r>
    <x v="160"/>
    <x v="3"/>
    <x v="2"/>
    <x v="0"/>
    <x v="4"/>
    <x v="3"/>
    <x v="1"/>
    <n v="6400"/>
    <n v="67000"/>
    <n v="2010"/>
    <n v="100"/>
    <x v="1"/>
    <n v="25125"/>
    <n v="0.03"/>
    <n v="3.18"/>
    <n v="2.93"/>
  </r>
  <r>
    <x v="161"/>
    <x v="1"/>
    <x v="14"/>
    <x v="0"/>
    <x v="6"/>
    <x v="1"/>
    <x v="1"/>
    <n v="4150"/>
    <n v="126000"/>
    <n v="5040"/>
    <n v="252"/>
    <x v="1"/>
    <n v="37800"/>
    <n v="0.04"/>
    <n v="0.82"/>
    <n v="8.11"/>
  </r>
  <r>
    <x v="162"/>
    <x v="1"/>
    <x v="12"/>
    <x v="0"/>
    <x v="10"/>
    <x v="0"/>
    <x v="1"/>
    <n v="4050"/>
    <n v="122000"/>
    <n v="6100"/>
    <n v="305"/>
    <x v="1"/>
    <n v="45750"/>
    <n v="0.05"/>
    <n v="0.66"/>
    <n v="10.3"/>
  </r>
  <r>
    <x v="163"/>
    <x v="0"/>
    <x v="14"/>
    <x v="0"/>
    <x v="6"/>
    <x v="2"/>
    <x v="3"/>
    <n v="4650"/>
    <n v="143000"/>
    <n v="5720"/>
    <n v="286"/>
    <x v="1"/>
    <n v="42900"/>
    <n v="0.04"/>
    <n v="0.81"/>
    <n v="8.23"/>
  </r>
  <r>
    <x v="164"/>
    <x v="0"/>
    <x v="4"/>
    <x v="0"/>
    <x v="10"/>
    <x v="0"/>
    <x v="3"/>
    <n v="4150"/>
    <n v="125000"/>
    <n v="6250"/>
    <n v="312"/>
    <x v="1"/>
    <n v="46875"/>
    <n v="0.05"/>
    <n v="0.66"/>
    <n v="10.3"/>
  </r>
  <r>
    <x v="165"/>
    <x v="1"/>
    <x v="5"/>
    <x v="2"/>
    <x v="2"/>
    <x v="3"/>
    <x v="3"/>
    <n v="6500"/>
    <n v="68000"/>
    <n v="2040"/>
    <n v="102"/>
    <x v="1"/>
    <n v="25500"/>
    <n v="0.03"/>
    <n v="3.19"/>
    <n v="2.92"/>
  </r>
  <r>
    <x v="166"/>
    <x v="1"/>
    <x v="3"/>
    <x v="1"/>
    <x v="5"/>
    <x v="1"/>
    <x v="3"/>
    <n v="4250"/>
    <n v="129000"/>
    <n v="5160"/>
    <n v="258"/>
    <x v="1"/>
    <n v="38700"/>
    <n v="0.04"/>
    <n v="0.82"/>
    <n v="8.11"/>
  </r>
  <r>
    <x v="167"/>
    <x v="1"/>
    <x v="8"/>
    <x v="1"/>
    <x v="10"/>
    <x v="0"/>
    <x v="3"/>
    <n v="4250"/>
    <n v="128000"/>
    <n v="6400"/>
    <n v="320"/>
    <x v="1"/>
    <n v="48000"/>
    <n v="0.05"/>
    <n v="0.66"/>
    <n v="10.29"/>
  </r>
  <r>
    <x v="168"/>
    <x v="1"/>
    <x v="6"/>
    <x v="0"/>
    <x v="0"/>
    <x v="2"/>
    <x v="3"/>
    <n v="4750"/>
    <n v="146000"/>
    <n v="5840"/>
    <n v="292"/>
    <x v="1"/>
    <n v="43800"/>
    <n v="0.04"/>
    <n v="0.81"/>
    <n v="8.2200000000000006"/>
  </r>
  <r>
    <x v="169"/>
    <x v="3"/>
    <x v="8"/>
    <x v="1"/>
    <x v="4"/>
    <x v="0"/>
    <x v="3"/>
    <n v="4350"/>
    <n v="131000"/>
    <n v="6550"/>
    <n v="328"/>
    <x v="1"/>
    <n v="49125"/>
    <n v="0.05"/>
    <n v="0.66"/>
    <n v="10.29"/>
  </r>
  <r>
    <x v="170"/>
    <x v="1"/>
    <x v="2"/>
    <x v="0"/>
    <x v="6"/>
    <x v="3"/>
    <x v="3"/>
    <n v="6600"/>
    <n v="69000"/>
    <n v="2070"/>
    <n v="104"/>
    <x v="1"/>
    <n v="25875"/>
    <n v="0.03"/>
    <n v="3.19"/>
    <n v="2.92"/>
  </r>
  <r>
    <x v="171"/>
    <x v="2"/>
    <x v="4"/>
    <x v="0"/>
    <x v="1"/>
    <x v="1"/>
    <x v="3"/>
    <n v="4350"/>
    <n v="132000"/>
    <n v="5280"/>
    <n v="264"/>
    <x v="1"/>
    <n v="39600"/>
    <n v="0.04"/>
    <n v="0.82"/>
    <n v="8.1"/>
  </r>
  <r>
    <x v="172"/>
    <x v="0"/>
    <x v="16"/>
    <x v="0"/>
    <x v="6"/>
    <x v="0"/>
    <x v="3"/>
    <n v="4450"/>
    <n v="134000"/>
    <n v="6700"/>
    <n v="335"/>
    <x v="1"/>
    <n v="50250"/>
    <n v="0.05"/>
    <n v="0.66"/>
    <n v="10.29"/>
  </r>
  <r>
    <x v="173"/>
    <x v="1"/>
    <x v="14"/>
    <x v="0"/>
    <x v="5"/>
    <x v="2"/>
    <x v="3"/>
    <n v="4850"/>
    <n v="149000"/>
    <n v="5960"/>
    <n v="298"/>
    <x v="1"/>
    <n v="44700"/>
    <n v="0.04"/>
    <n v="0.81"/>
    <n v="8.2200000000000006"/>
  </r>
  <r>
    <x v="174"/>
    <x v="3"/>
    <x v="10"/>
    <x v="1"/>
    <x v="1"/>
    <x v="0"/>
    <x v="3"/>
    <n v="4550"/>
    <n v="137000"/>
    <n v="6850"/>
    <n v="342"/>
    <x v="1"/>
    <n v="51375"/>
    <n v="0.05"/>
    <n v="0.66"/>
    <n v="10.29"/>
  </r>
  <r>
    <x v="175"/>
    <x v="2"/>
    <x v="5"/>
    <x v="2"/>
    <x v="11"/>
    <x v="3"/>
    <x v="3"/>
    <n v="6700"/>
    <n v="70000"/>
    <n v="2100"/>
    <n v="105"/>
    <x v="1"/>
    <n v="26250"/>
    <n v="0.03"/>
    <n v="3.19"/>
    <n v="2.92"/>
  </r>
  <r>
    <x v="176"/>
    <x v="0"/>
    <x v="3"/>
    <x v="1"/>
    <x v="8"/>
    <x v="1"/>
    <x v="3"/>
    <n v="4450"/>
    <n v="135000"/>
    <n v="5400"/>
    <n v="270"/>
    <x v="1"/>
    <n v="40500"/>
    <n v="0.04"/>
    <n v="0.82"/>
    <n v="8.1"/>
  </r>
  <r>
    <x v="177"/>
    <x v="3"/>
    <x v="6"/>
    <x v="0"/>
    <x v="10"/>
    <x v="0"/>
    <x v="3"/>
    <n v="4650"/>
    <n v="140000"/>
    <n v="7000"/>
    <n v="350"/>
    <x v="1"/>
    <n v="52500"/>
    <n v="0.05"/>
    <n v="0.66"/>
    <n v="10.29"/>
  </r>
  <r>
    <x v="178"/>
    <x v="0"/>
    <x v="16"/>
    <x v="0"/>
    <x v="8"/>
    <x v="2"/>
    <x v="0"/>
    <n v="4950"/>
    <n v="152000"/>
    <n v="6080"/>
    <n v="304"/>
    <x v="1"/>
    <n v="45600"/>
    <n v="0.04"/>
    <n v="0.81"/>
    <n v="8.2100000000000009"/>
  </r>
  <r>
    <x v="179"/>
    <x v="2"/>
    <x v="13"/>
    <x v="1"/>
    <x v="1"/>
    <x v="0"/>
    <x v="0"/>
    <n v="4750"/>
    <n v="143000"/>
    <n v="7150"/>
    <n v="358"/>
    <x v="1"/>
    <n v="53625"/>
    <n v="0.05"/>
    <n v="0.66"/>
    <n v="10.29"/>
  </r>
  <r>
    <x v="180"/>
    <x v="1"/>
    <x v="5"/>
    <x v="2"/>
    <x v="2"/>
    <x v="3"/>
    <x v="0"/>
    <n v="6800"/>
    <n v="71000"/>
    <n v="2130"/>
    <n v="106"/>
    <x v="1"/>
    <n v="26625"/>
    <n v="0.03"/>
    <n v="3.19"/>
    <n v="2.92"/>
  </r>
  <r>
    <x v="181"/>
    <x v="0"/>
    <x v="14"/>
    <x v="0"/>
    <x v="6"/>
    <x v="1"/>
    <x v="0"/>
    <n v="4550"/>
    <n v="138000"/>
    <n v="5520"/>
    <n v="276"/>
    <x v="1"/>
    <n v="41400"/>
    <n v="0.04"/>
    <n v="0.82"/>
    <n v="8.1"/>
  </r>
  <r>
    <x v="182"/>
    <x v="1"/>
    <x v="19"/>
    <x v="2"/>
    <x v="0"/>
    <x v="0"/>
    <x v="0"/>
    <n v="4850"/>
    <n v="146000"/>
    <n v="7300"/>
    <n v="365"/>
    <x v="1"/>
    <n v="54750"/>
    <n v="0.05"/>
    <n v="0.66"/>
    <n v="10.29"/>
  </r>
  <r>
    <x v="183"/>
    <x v="1"/>
    <x v="2"/>
    <x v="0"/>
    <x v="6"/>
    <x v="2"/>
    <x v="0"/>
    <n v="5050"/>
    <n v="155000"/>
    <n v="6200"/>
    <n v="310"/>
    <x v="1"/>
    <n v="46500"/>
    <n v="0.04"/>
    <n v="0.81"/>
    <n v="8.2100000000000009"/>
  </r>
  <r>
    <x v="184"/>
    <x v="2"/>
    <x v="8"/>
    <x v="1"/>
    <x v="1"/>
    <x v="0"/>
    <x v="0"/>
    <n v="4950"/>
    <n v="149000"/>
    <n v="7450"/>
    <n v="372"/>
    <x v="1"/>
    <n v="55875"/>
    <n v="0.05"/>
    <n v="0.66"/>
    <n v="10.29"/>
  </r>
  <r>
    <x v="185"/>
    <x v="1"/>
    <x v="7"/>
    <x v="2"/>
    <x v="2"/>
    <x v="3"/>
    <x v="0"/>
    <n v="6900"/>
    <n v="72000"/>
    <n v="2160"/>
    <n v="108"/>
    <x v="1"/>
    <n v="27000"/>
    <n v="0.03"/>
    <n v="3.19"/>
    <n v="2.91"/>
  </r>
  <r>
    <x v="186"/>
    <x v="0"/>
    <x v="16"/>
    <x v="0"/>
    <x v="4"/>
    <x v="1"/>
    <x v="0"/>
    <n v="4650"/>
    <n v="141000"/>
    <n v="5640"/>
    <n v="282"/>
    <x v="1"/>
    <n v="42300"/>
    <n v="0.04"/>
    <n v="0.82"/>
    <n v="8.1"/>
  </r>
  <r>
    <x v="187"/>
    <x v="1"/>
    <x v="15"/>
    <x v="2"/>
    <x v="0"/>
    <x v="0"/>
    <x v="0"/>
    <n v="5050"/>
    <n v="152000"/>
    <n v="7600"/>
    <n v="380"/>
    <x v="1"/>
    <n v="57000"/>
    <n v="0.05"/>
    <n v="0.66"/>
    <n v="10.29"/>
  </r>
  <r>
    <x v="188"/>
    <x v="2"/>
    <x v="17"/>
    <x v="2"/>
    <x v="2"/>
    <x v="2"/>
    <x v="2"/>
    <n v="5150"/>
    <n v="158000"/>
    <n v="6320"/>
    <n v="316"/>
    <x v="1"/>
    <n v="47400"/>
    <n v="0.04"/>
    <n v="0.81"/>
    <n v="8.1999999999999993"/>
  </r>
  <r>
    <x v="684"/>
    <x v="0"/>
    <x v="5"/>
    <x v="2"/>
    <x v="6"/>
    <x v="0"/>
    <x v="2"/>
    <n v="5150"/>
    <n v="155000"/>
    <n v="7750"/>
    <n v="388"/>
    <x v="1"/>
    <n v="58125"/>
    <n v="0.05"/>
    <n v="0.66"/>
    <n v="10.29"/>
  </r>
  <r>
    <x v="685"/>
    <x v="0"/>
    <x v="2"/>
    <x v="0"/>
    <x v="4"/>
    <x v="3"/>
    <x v="2"/>
    <n v="7000"/>
    <n v="73000"/>
    <n v="2190"/>
    <n v="110"/>
    <x v="1"/>
    <n v="27375"/>
    <n v="0.03"/>
    <n v="3.2"/>
    <n v="2.91"/>
  </r>
  <r>
    <x v="686"/>
    <x v="0"/>
    <x v="14"/>
    <x v="0"/>
    <x v="8"/>
    <x v="1"/>
    <x v="2"/>
    <n v="4750"/>
    <n v="144000"/>
    <n v="5760"/>
    <n v="288"/>
    <x v="1"/>
    <n v="43200"/>
    <n v="0.04"/>
    <n v="0.82"/>
    <n v="8.09"/>
  </r>
  <r>
    <x v="687"/>
    <x v="3"/>
    <x v="2"/>
    <x v="0"/>
    <x v="2"/>
    <x v="0"/>
    <x v="2"/>
    <n v="5250"/>
    <n v="158000"/>
    <n v="7900"/>
    <n v="395"/>
    <x v="1"/>
    <n v="59250"/>
    <n v="0.05"/>
    <n v="0.66"/>
    <n v="10.29"/>
  </r>
  <r>
    <x v="688"/>
    <x v="3"/>
    <x v="5"/>
    <x v="2"/>
    <x v="2"/>
    <x v="2"/>
    <x v="2"/>
    <n v="5250"/>
    <n v="161000"/>
    <n v="6440"/>
    <n v="322"/>
    <x v="1"/>
    <n v="48300"/>
    <n v="0.04"/>
    <n v="0.82"/>
    <n v="8.1999999999999993"/>
  </r>
  <r>
    <x v="689"/>
    <x v="3"/>
    <x v="1"/>
    <x v="1"/>
    <x v="0"/>
    <x v="0"/>
    <x v="2"/>
    <n v="5350"/>
    <n v="161000"/>
    <n v="8050"/>
    <n v="402"/>
    <x v="1"/>
    <n v="60375"/>
    <n v="0.05"/>
    <n v="0.66"/>
    <n v="10.28"/>
  </r>
  <r>
    <x v="690"/>
    <x v="0"/>
    <x v="3"/>
    <x v="1"/>
    <x v="1"/>
    <x v="3"/>
    <x v="2"/>
    <n v="7100"/>
    <n v="74000"/>
    <n v="2220"/>
    <n v="111"/>
    <x v="1"/>
    <n v="27750"/>
    <n v="0.03"/>
    <n v="3.2"/>
    <n v="2.91"/>
  </r>
  <r>
    <x v="691"/>
    <x v="3"/>
    <x v="8"/>
    <x v="1"/>
    <x v="11"/>
    <x v="1"/>
    <x v="2"/>
    <n v="4850"/>
    <n v="147000"/>
    <n v="5880"/>
    <n v="294"/>
    <x v="1"/>
    <n v="44100"/>
    <n v="0.04"/>
    <n v="0.82"/>
    <n v="8.09"/>
  </r>
  <r>
    <x v="692"/>
    <x v="3"/>
    <x v="17"/>
    <x v="2"/>
    <x v="2"/>
    <x v="0"/>
    <x v="2"/>
    <n v="5450"/>
    <n v="164000"/>
    <n v="8200"/>
    <n v="410"/>
    <x v="1"/>
    <n v="61500"/>
    <n v="0.05"/>
    <n v="0.66"/>
    <n v="10.28"/>
  </r>
  <r>
    <x v="693"/>
    <x v="0"/>
    <x v="16"/>
    <x v="0"/>
    <x v="10"/>
    <x v="2"/>
    <x v="2"/>
    <n v="5350"/>
    <n v="164000"/>
    <n v="6560"/>
    <n v="328"/>
    <x v="1"/>
    <n v="49200"/>
    <n v="0.04"/>
    <n v="0.82"/>
    <n v="8.1999999999999993"/>
  </r>
  <r>
    <x v="694"/>
    <x v="2"/>
    <x v="4"/>
    <x v="0"/>
    <x v="6"/>
    <x v="0"/>
    <x v="2"/>
    <n v="5550"/>
    <n v="167000"/>
    <n v="8350"/>
    <n v="418"/>
    <x v="1"/>
    <n v="62625"/>
    <n v="0.05"/>
    <n v="0.66"/>
    <n v="10.28"/>
  </r>
  <r>
    <x v="695"/>
    <x v="1"/>
    <x v="16"/>
    <x v="0"/>
    <x v="10"/>
    <x v="3"/>
    <x v="2"/>
    <n v="7200"/>
    <n v="75000"/>
    <n v="2250"/>
    <n v="112"/>
    <x v="1"/>
    <n v="28125"/>
    <n v="0.03"/>
    <n v="3.2"/>
    <n v="2.91"/>
  </r>
  <r>
    <x v="696"/>
    <x v="2"/>
    <x v="12"/>
    <x v="0"/>
    <x v="2"/>
    <x v="1"/>
    <x v="2"/>
    <n v="4950"/>
    <n v="150000"/>
    <n v="6000"/>
    <n v="300"/>
    <x v="1"/>
    <n v="45000"/>
    <n v="0.04"/>
    <n v="0.82"/>
    <n v="8.09"/>
  </r>
  <r>
    <x v="697"/>
    <x v="0"/>
    <x v="7"/>
    <x v="2"/>
    <x v="2"/>
    <x v="0"/>
    <x v="2"/>
    <n v="5650"/>
    <n v="170000"/>
    <n v="8500"/>
    <n v="425"/>
    <x v="1"/>
    <n v="63750"/>
    <n v="0.05"/>
    <n v="0.66"/>
    <n v="10.28"/>
  </r>
  <r>
    <x v="189"/>
    <x v="3"/>
    <x v="2"/>
    <x v="0"/>
    <x v="0"/>
    <x v="2"/>
    <x v="1"/>
    <n v="5450"/>
    <n v="167000"/>
    <n v="6680"/>
    <n v="334"/>
    <x v="1"/>
    <n v="50100"/>
    <n v="0.04"/>
    <n v="0.82"/>
    <n v="8.19"/>
  </r>
  <r>
    <x v="190"/>
    <x v="0"/>
    <x v="6"/>
    <x v="0"/>
    <x v="1"/>
    <x v="0"/>
    <x v="1"/>
    <n v="5750"/>
    <n v="173000"/>
    <n v="8650"/>
    <n v="432"/>
    <x v="1"/>
    <n v="64875"/>
    <n v="0.05"/>
    <n v="0.66"/>
    <n v="10.28"/>
  </r>
  <r>
    <x v="191"/>
    <x v="3"/>
    <x v="15"/>
    <x v="2"/>
    <x v="7"/>
    <x v="3"/>
    <x v="1"/>
    <n v="7300"/>
    <n v="76000"/>
    <n v="2280"/>
    <n v="114"/>
    <x v="1"/>
    <n v="28500"/>
    <n v="0.03"/>
    <n v="3.2"/>
    <n v="2.9"/>
  </r>
  <r>
    <x v="192"/>
    <x v="0"/>
    <x v="17"/>
    <x v="2"/>
    <x v="9"/>
    <x v="1"/>
    <x v="1"/>
    <n v="5050"/>
    <n v="153000"/>
    <n v="6120"/>
    <n v="306"/>
    <x v="1"/>
    <n v="45900"/>
    <n v="0.04"/>
    <n v="0.82"/>
    <n v="8.09"/>
  </r>
  <r>
    <x v="193"/>
    <x v="0"/>
    <x v="15"/>
    <x v="2"/>
    <x v="1"/>
    <x v="0"/>
    <x v="1"/>
    <n v="5850"/>
    <n v="176000"/>
    <n v="8800"/>
    <n v="440"/>
    <x v="1"/>
    <n v="66000"/>
    <n v="0.05"/>
    <n v="0.66"/>
    <n v="10.28"/>
  </r>
  <r>
    <x v="194"/>
    <x v="2"/>
    <x v="9"/>
    <x v="2"/>
    <x v="1"/>
    <x v="2"/>
    <x v="1"/>
    <n v="5550"/>
    <n v="170000"/>
    <n v="6800"/>
    <n v="340"/>
    <x v="1"/>
    <n v="51000"/>
    <n v="0.04"/>
    <n v="0.82"/>
    <n v="8.19"/>
  </r>
  <r>
    <x v="195"/>
    <x v="3"/>
    <x v="7"/>
    <x v="2"/>
    <x v="1"/>
    <x v="0"/>
    <x v="1"/>
    <n v="5950"/>
    <n v="179000"/>
    <n v="8950"/>
    <n v="448"/>
    <x v="1"/>
    <n v="67125"/>
    <n v="0.05"/>
    <n v="0.66"/>
    <n v="10.28"/>
  </r>
  <r>
    <x v="196"/>
    <x v="1"/>
    <x v="19"/>
    <x v="2"/>
    <x v="4"/>
    <x v="3"/>
    <x v="1"/>
    <n v="7400"/>
    <n v="77000"/>
    <n v="2310"/>
    <n v="116"/>
    <x v="1"/>
    <n v="28875"/>
    <n v="0.03"/>
    <n v="3.2"/>
    <n v="2.9"/>
  </r>
  <r>
    <x v="197"/>
    <x v="3"/>
    <x v="16"/>
    <x v="0"/>
    <x v="2"/>
    <x v="1"/>
    <x v="1"/>
    <n v="5150"/>
    <n v="156000"/>
    <n v="6240"/>
    <n v="312"/>
    <x v="1"/>
    <n v="46800"/>
    <n v="0.04"/>
    <n v="0.82"/>
    <n v="8.09"/>
  </r>
  <r>
    <x v="198"/>
    <x v="0"/>
    <x v="5"/>
    <x v="2"/>
    <x v="0"/>
    <x v="0"/>
    <x v="1"/>
    <n v="6050"/>
    <n v="182000"/>
    <n v="9100"/>
    <n v="455"/>
    <x v="1"/>
    <n v="68250"/>
    <n v="0.05"/>
    <n v="0.66"/>
    <n v="10.28"/>
  </r>
  <r>
    <x v="199"/>
    <x v="3"/>
    <x v="4"/>
    <x v="0"/>
    <x v="2"/>
    <x v="2"/>
    <x v="3"/>
    <n v="5650"/>
    <n v="173000"/>
    <n v="6920"/>
    <n v="346"/>
    <x v="1"/>
    <n v="51900"/>
    <n v="0.04"/>
    <n v="0.82"/>
    <n v="8.19"/>
  </r>
  <r>
    <x v="200"/>
    <x v="1"/>
    <x v="2"/>
    <x v="0"/>
    <x v="1"/>
    <x v="0"/>
    <x v="3"/>
    <n v="6150"/>
    <n v="185000"/>
    <n v="9250"/>
    <n v="462"/>
    <x v="1"/>
    <n v="69375"/>
    <n v="0.05"/>
    <n v="0.66"/>
    <n v="10.28"/>
  </r>
  <r>
    <x v="201"/>
    <x v="3"/>
    <x v="14"/>
    <x v="0"/>
    <x v="2"/>
    <x v="3"/>
    <x v="3"/>
    <n v="7500"/>
    <n v="78000"/>
    <n v="2340"/>
    <n v="117"/>
    <x v="1"/>
    <n v="29250"/>
    <n v="0.03"/>
    <n v="3.21"/>
    <n v="2.9"/>
  </r>
  <r>
    <x v="202"/>
    <x v="0"/>
    <x v="1"/>
    <x v="1"/>
    <x v="6"/>
    <x v="1"/>
    <x v="3"/>
    <n v="5250"/>
    <n v="159000"/>
    <n v="6360"/>
    <n v="318"/>
    <x v="1"/>
    <n v="47700"/>
    <n v="0.04"/>
    <n v="0.82"/>
    <n v="8.09"/>
  </r>
  <r>
    <x v="203"/>
    <x v="1"/>
    <x v="8"/>
    <x v="1"/>
    <x v="6"/>
    <x v="0"/>
    <x v="3"/>
    <n v="6250"/>
    <n v="188000"/>
    <n v="9400"/>
    <n v="470"/>
    <x v="1"/>
    <n v="70500"/>
    <n v="0.05"/>
    <n v="0.66"/>
    <n v="10.28"/>
  </r>
  <r>
    <x v="204"/>
    <x v="3"/>
    <x v="7"/>
    <x v="2"/>
    <x v="2"/>
    <x v="2"/>
    <x v="3"/>
    <n v="5750"/>
    <n v="176000"/>
    <n v="7040"/>
    <n v="352"/>
    <x v="1"/>
    <n v="52800"/>
    <n v="0.04"/>
    <n v="0.82"/>
    <n v="8.18"/>
  </r>
  <r>
    <x v="205"/>
    <x v="2"/>
    <x v="9"/>
    <x v="2"/>
    <x v="11"/>
    <x v="0"/>
    <x v="3"/>
    <n v="6350"/>
    <n v="191000"/>
    <n v="9550"/>
    <n v="478"/>
    <x v="1"/>
    <n v="71625"/>
    <n v="0.05"/>
    <n v="0.66"/>
    <n v="10.28"/>
  </r>
  <r>
    <x v="206"/>
    <x v="1"/>
    <x v="2"/>
    <x v="0"/>
    <x v="1"/>
    <x v="3"/>
    <x v="3"/>
    <n v="7600"/>
    <n v="79000"/>
    <n v="2370"/>
    <n v="118"/>
    <x v="1"/>
    <n v="29625"/>
    <n v="0.03"/>
    <n v="3.21"/>
    <n v="2.9"/>
  </r>
  <r>
    <x v="207"/>
    <x v="0"/>
    <x v="18"/>
    <x v="0"/>
    <x v="2"/>
    <x v="1"/>
    <x v="3"/>
    <n v="5350"/>
    <n v="162000"/>
    <n v="6480"/>
    <n v="324"/>
    <x v="1"/>
    <n v="48600"/>
    <n v="0.04"/>
    <n v="0.82"/>
    <n v="8.09"/>
  </r>
  <r>
    <x v="208"/>
    <x v="2"/>
    <x v="10"/>
    <x v="1"/>
    <x v="0"/>
    <x v="0"/>
    <x v="3"/>
    <n v="6450"/>
    <n v="194000"/>
    <n v="9700"/>
    <n v="485"/>
    <x v="1"/>
    <n v="72750"/>
    <n v="0.05"/>
    <n v="0.66"/>
    <n v="10.28"/>
  </r>
  <r>
    <x v="209"/>
    <x v="0"/>
    <x v="11"/>
    <x v="2"/>
    <x v="6"/>
    <x v="2"/>
    <x v="3"/>
    <n v="5850"/>
    <n v="179000"/>
    <n v="7160"/>
    <n v="358"/>
    <x v="1"/>
    <n v="53700"/>
    <n v="0.04"/>
    <n v="0.82"/>
    <n v="8.18"/>
  </r>
  <r>
    <x v="210"/>
    <x v="0"/>
    <x v="9"/>
    <x v="2"/>
    <x v="6"/>
    <x v="0"/>
    <x v="3"/>
    <n v="6550"/>
    <n v="197000"/>
    <n v="9850"/>
    <n v="492"/>
    <x v="1"/>
    <n v="73875"/>
    <n v="0.05"/>
    <n v="0.66"/>
    <n v="10.28"/>
  </r>
  <r>
    <x v="211"/>
    <x v="0"/>
    <x v="14"/>
    <x v="0"/>
    <x v="2"/>
    <x v="3"/>
    <x v="3"/>
    <n v="7700"/>
    <n v="80000"/>
    <n v="2400"/>
    <n v="120"/>
    <x v="1"/>
    <n v="30000"/>
    <n v="0.03"/>
    <n v="3.21"/>
    <n v="2.9"/>
  </r>
  <r>
    <x v="212"/>
    <x v="0"/>
    <x v="4"/>
    <x v="0"/>
    <x v="6"/>
    <x v="1"/>
    <x v="3"/>
    <n v="5450"/>
    <n v="165000"/>
    <n v="6600"/>
    <n v="330"/>
    <x v="1"/>
    <n v="49500"/>
    <n v="0.04"/>
    <n v="0.82"/>
    <n v="8.09"/>
  </r>
  <r>
    <x v="213"/>
    <x v="3"/>
    <x v="1"/>
    <x v="1"/>
    <x v="1"/>
    <x v="0"/>
    <x v="3"/>
    <n v="6650"/>
    <n v="200000"/>
    <n v="10000"/>
    <n v="500"/>
    <x v="1"/>
    <n v="75000"/>
    <n v="0.05"/>
    <n v="0.67"/>
    <n v="10.28"/>
  </r>
  <r>
    <x v="214"/>
    <x v="3"/>
    <x v="6"/>
    <x v="0"/>
    <x v="6"/>
    <x v="2"/>
    <x v="3"/>
    <n v="5950"/>
    <n v="182000"/>
    <n v="7280"/>
    <n v="364"/>
    <x v="1"/>
    <n v="54600"/>
    <n v="0.04"/>
    <n v="0.82"/>
    <n v="8.18"/>
  </r>
  <r>
    <x v="215"/>
    <x v="1"/>
    <x v="2"/>
    <x v="0"/>
    <x v="4"/>
    <x v="0"/>
    <x v="3"/>
    <n v="6750"/>
    <n v="203000"/>
    <n v="10150"/>
    <n v="508"/>
    <x v="1"/>
    <n v="76125"/>
    <n v="0.05"/>
    <n v="0.66"/>
    <n v="10.28"/>
  </r>
  <r>
    <x v="216"/>
    <x v="0"/>
    <x v="18"/>
    <x v="0"/>
    <x v="7"/>
    <x v="3"/>
    <x v="3"/>
    <n v="7800"/>
    <n v="81000"/>
    <n v="2430"/>
    <n v="122"/>
    <x v="1"/>
    <n v="30375"/>
    <n v="0.03"/>
    <n v="3.21"/>
    <n v="2.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5B8458-A64C-4C84-8667-68BE7CCA9F8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fieldListSortAscending="1">
  <location ref="B89:C94" firstHeaderRow="1" firstDataRow="1" firstDataCol="1"/>
  <pivotFields count="19">
    <pivotField showAll="0">
      <items count="730">
        <item x="88"/>
        <item m="1" x="728"/>
        <item m="1" x="702"/>
        <item x="309"/>
        <item x="409"/>
        <item x="513"/>
        <item x="89"/>
        <item x="661"/>
        <item m="1" x="703"/>
        <item m="1" x="698"/>
        <item x="410"/>
        <item x="514"/>
        <item m="1" x="716"/>
        <item x="90"/>
        <item x="662"/>
        <item m="1" x="704"/>
        <item m="1" x="699"/>
        <item x="411"/>
        <item x="515"/>
        <item m="1" x="717"/>
        <item x="91"/>
        <item x="663"/>
        <item m="1" x="705"/>
        <item m="1" x="700"/>
        <item x="412"/>
        <item x="516"/>
        <item m="1" x="718"/>
        <item x="92"/>
        <item x="664"/>
        <item m="1" x="706"/>
        <item m="1" x="701"/>
        <item x="413"/>
        <item x="517"/>
        <item m="1" x="719"/>
        <item x="93"/>
        <item x="665"/>
        <item m="1" x="707"/>
        <item x="310"/>
        <item x="414"/>
        <item x="518"/>
        <item m="1" x="720"/>
        <item x="94"/>
        <item x="666"/>
        <item m="1" x="708"/>
        <item x="311"/>
        <item x="415"/>
        <item x="519"/>
        <item m="1" x="721"/>
        <item x="95"/>
        <item x="667"/>
        <item m="1" x="709"/>
        <item x="312"/>
        <item x="416"/>
        <item x="520"/>
        <item m="1" x="722"/>
        <item x="96"/>
        <item x="659"/>
        <item x="217"/>
        <item x="313"/>
        <item x="417"/>
        <item x="521"/>
        <item x="660"/>
        <item x="97"/>
        <item x="668"/>
        <item m="1" x="710"/>
        <item x="314"/>
        <item x="418"/>
        <item x="522"/>
        <item m="1" x="723"/>
        <item x="617"/>
        <item x="669"/>
        <item m="1" x="711"/>
        <item x="315"/>
        <item x="419"/>
        <item x="523"/>
        <item m="1" x="724"/>
        <item x="618"/>
        <item x="670"/>
        <item m="1" x="712"/>
        <item x="316"/>
        <item x="420"/>
        <item x="524"/>
        <item m="1" x="725"/>
        <item x="619"/>
        <item x="671"/>
        <item m="1" x="713"/>
        <item x="317"/>
        <item x="421"/>
        <item x="525"/>
        <item m="1" x="726"/>
        <item x="620"/>
        <item x="672"/>
        <item x="218"/>
        <item x="318"/>
        <item x="422"/>
        <item x="526"/>
        <item m="1" x="727"/>
        <item x="621"/>
        <item x="673"/>
        <item x="219"/>
        <item x="319"/>
        <item x="423"/>
        <item x="527"/>
        <item x="49"/>
        <item x="622"/>
        <item x="674"/>
        <item x="220"/>
        <item x="320"/>
        <item x="424"/>
        <item x="528"/>
        <item x="50"/>
        <item x="623"/>
        <item x="675"/>
        <item x="221"/>
        <item x="321"/>
        <item x="425"/>
        <item x="529"/>
        <item x="51"/>
        <item x="624"/>
        <item x="676"/>
        <item x="222"/>
        <item x="322"/>
        <item x="426"/>
        <item x="530"/>
        <item x="52"/>
        <item x="625"/>
        <item x="677"/>
        <item x="223"/>
        <item x="323"/>
        <item x="427"/>
        <item x="531"/>
        <item x="53"/>
        <item x="626"/>
        <item x="678"/>
        <item x="224"/>
        <item x="324"/>
        <item x="428"/>
        <item x="532"/>
        <item x="54"/>
        <item x="627"/>
        <item x="679"/>
        <item x="225"/>
        <item x="325"/>
        <item x="429"/>
        <item x="533"/>
        <item x="55"/>
        <item x="628"/>
        <item x="680"/>
        <item x="226"/>
        <item x="326"/>
        <item x="430"/>
        <item x="534"/>
        <item x="56"/>
        <item x="629"/>
        <item x="681"/>
        <item x="227"/>
        <item x="327"/>
        <item x="431"/>
        <item x="535"/>
        <item x="57"/>
        <item x="630"/>
        <item x="682"/>
        <item x="228"/>
        <item x="328"/>
        <item x="432"/>
        <item x="536"/>
        <item x="58"/>
        <item x="631"/>
        <item x="683"/>
        <item x="229"/>
        <item x="329"/>
        <item x="433"/>
        <item x="537"/>
        <item x="59"/>
        <item x="632"/>
        <item x="151"/>
        <item x="230"/>
        <item x="330"/>
        <item x="434"/>
        <item x="538"/>
        <item x="60"/>
        <item x="98"/>
        <item x="152"/>
        <item x="231"/>
        <item x="331"/>
        <item x="435"/>
        <item x="539"/>
        <item x="61"/>
        <item x="99"/>
        <item x="153"/>
        <item x="232"/>
        <item x="332"/>
        <item x="436"/>
        <item x="540"/>
        <item x="62"/>
        <item x="100"/>
        <item x="154"/>
        <item x="233"/>
        <item x="333"/>
        <item x="437"/>
        <item x="541"/>
        <item x="63"/>
        <item x="101"/>
        <item x="155"/>
        <item x="234"/>
        <item x="334"/>
        <item x="438"/>
        <item x="542"/>
        <item x="64"/>
        <item x="102"/>
        <item x="156"/>
        <item x="235"/>
        <item x="335"/>
        <item x="439"/>
        <item x="543"/>
        <item x="65"/>
        <item x="103"/>
        <item x="157"/>
        <item x="236"/>
        <item x="336"/>
        <item x="440"/>
        <item x="544"/>
        <item x="66"/>
        <item x="633"/>
        <item x="158"/>
        <item x="237"/>
        <item x="337"/>
        <item x="441"/>
        <item x="545"/>
        <item x="67"/>
        <item x="634"/>
        <item x="159"/>
        <item x="238"/>
        <item x="338"/>
        <item x="442"/>
        <item x="546"/>
        <item x="68"/>
        <item x="635"/>
        <item x="160"/>
        <item x="239"/>
        <item x="339"/>
        <item x="443"/>
        <item x="547"/>
        <item x="69"/>
        <item x="636"/>
        <item x="161"/>
        <item x="240"/>
        <item x="340"/>
        <item x="444"/>
        <item x="548"/>
        <item x="70"/>
        <item x="637"/>
        <item x="162"/>
        <item x="241"/>
        <item x="341"/>
        <item x="445"/>
        <item x="549"/>
        <item x="71"/>
        <item x="638"/>
        <item x="163"/>
        <item x="242"/>
        <item x="342"/>
        <item x="446"/>
        <item x="550"/>
        <item x="72"/>
        <item x="639"/>
        <item x="164"/>
        <item x="243"/>
        <item x="343"/>
        <item x="447"/>
        <item x="551"/>
        <item x="73"/>
        <item x="640"/>
        <item x="165"/>
        <item x="244"/>
        <item x="344"/>
        <item x="448"/>
        <item x="552"/>
        <item x="74"/>
        <item x="641"/>
        <item x="166"/>
        <item x="245"/>
        <item x="345"/>
        <item x="449"/>
        <item x="553"/>
        <item x="75"/>
        <item x="642"/>
        <item x="167"/>
        <item x="246"/>
        <item x="346"/>
        <item x="450"/>
        <item x="554"/>
        <item x="76"/>
        <item x="643"/>
        <item x="168"/>
        <item x="247"/>
        <item x="347"/>
        <item x="451"/>
        <item x="555"/>
        <item x="77"/>
        <item x="644"/>
        <item x="169"/>
        <item x="248"/>
        <item x="348"/>
        <item x="452"/>
        <item x="556"/>
        <item x="78"/>
        <item x="104"/>
        <item x="170"/>
        <item x="249"/>
        <item x="349"/>
        <item x="453"/>
        <item x="557"/>
        <item x="79"/>
        <item x="105"/>
        <item x="171"/>
        <item x="250"/>
        <item x="350"/>
        <item x="454"/>
        <item x="558"/>
        <item x="80"/>
        <item x="106"/>
        <item x="172"/>
        <item x="251"/>
        <item x="351"/>
        <item x="455"/>
        <item x="559"/>
        <item x="81"/>
        <item x="107"/>
        <item x="173"/>
        <item x="252"/>
        <item x="352"/>
        <item x="456"/>
        <item x="560"/>
        <item x="0"/>
        <item x="108"/>
        <item x="174"/>
        <item x="253"/>
        <item x="353"/>
        <item x="457"/>
        <item x="561"/>
        <item x="1"/>
        <item x="109"/>
        <item x="175"/>
        <item x="254"/>
        <item x="354"/>
        <item x="458"/>
        <item x="562"/>
        <item x="2"/>
        <item x="110"/>
        <item x="176"/>
        <item x="255"/>
        <item x="355"/>
        <item x="459"/>
        <item x="563"/>
        <item x="3"/>
        <item x="111"/>
        <item x="177"/>
        <item x="256"/>
        <item x="356"/>
        <item x="460"/>
        <item x="564"/>
        <item x="4"/>
        <item x="645"/>
        <item x="178"/>
        <item x="257"/>
        <item x="357"/>
        <item x="461"/>
        <item x="565"/>
        <item m="1" x="714"/>
        <item x="646"/>
        <item x="179"/>
        <item x="258"/>
        <item x="358"/>
        <item x="462"/>
        <item x="566"/>
        <item m="1" x="715"/>
        <item x="647"/>
        <item x="180"/>
        <item x="259"/>
        <item x="359"/>
        <item x="463"/>
        <item x="567"/>
        <item x="5"/>
        <item x="648"/>
        <item x="181"/>
        <item x="260"/>
        <item x="360"/>
        <item x="464"/>
        <item x="568"/>
        <item x="6"/>
        <item x="649"/>
        <item x="182"/>
        <item x="261"/>
        <item x="361"/>
        <item x="465"/>
        <item x="569"/>
        <item x="7"/>
        <item x="650"/>
        <item x="183"/>
        <item x="262"/>
        <item x="362"/>
        <item x="466"/>
        <item x="570"/>
        <item x="8"/>
        <item x="651"/>
        <item x="184"/>
        <item x="263"/>
        <item x="363"/>
        <item x="467"/>
        <item x="571"/>
        <item x="9"/>
        <item x="652"/>
        <item x="185"/>
        <item x="264"/>
        <item x="364"/>
        <item x="468"/>
        <item x="572"/>
        <item x="10"/>
        <item x="653"/>
        <item x="186"/>
        <item x="265"/>
        <item x="365"/>
        <item x="469"/>
        <item x="573"/>
        <item x="11"/>
        <item x="654"/>
        <item x="187"/>
        <item x="266"/>
        <item x="366"/>
        <item x="470"/>
        <item x="574"/>
        <item x="12"/>
        <item x="655"/>
        <item x="188"/>
        <item x="267"/>
        <item x="367"/>
        <item x="471"/>
        <item x="575"/>
        <item x="13"/>
        <item x="656"/>
        <item x="684"/>
        <item x="268"/>
        <item x="368"/>
        <item x="472"/>
        <item x="576"/>
        <item x="14"/>
        <item x="657"/>
        <item x="685"/>
        <item x="269"/>
        <item x="369"/>
        <item x="473"/>
        <item x="577"/>
        <item x="15"/>
        <item x="658"/>
        <item x="686"/>
        <item x="270"/>
        <item x="370"/>
        <item x="474"/>
        <item x="578"/>
        <item x="16"/>
        <item x="112"/>
        <item x="687"/>
        <item x="271"/>
        <item x="371"/>
        <item x="475"/>
        <item x="579"/>
        <item x="17"/>
        <item x="113"/>
        <item x="688"/>
        <item x="272"/>
        <item x="372"/>
        <item x="476"/>
        <item x="580"/>
        <item x="18"/>
        <item x="114"/>
        <item x="689"/>
        <item x="273"/>
        <item x="373"/>
        <item x="477"/>
        <item x="581"/>
        <item x="19"/>
        <item x="115"/>
        <item x="690"/>
        <item x="274"/>
        <item x="374"/>
        <item x="478"/>
        <item x="582"/>
        <item x="20"/>
        <item x="116"/>
        <item x="691"/>
        <item x="275"/>
        <item x="375"/>
        <item x="479"/>
        <item x="583"/>
        <item x="21"/>
        <item x="117"/>
        <item x="692"/>
        <item x="276"/>
        <item x="376"/>
        <item x="480"/>
        <item x="584"/>
        <item x="22"/>
        <item x="118"/>
        <item x="693"/>
        <item x="277"/>
        <item x="377"/>
        <item x="481"/>
        <item x="585"/>
        <item x="23"/>
        <item x="119"/>
        <item x="694"/>
        <item x="278"/>
        <item x="378"/>
        <item x="482"/>
        <item x="586"/>
        <item x="24"/>
        <item x="120"/>
        <item x="695"/>
        <item x="279"/>
        <item x="379"/>
        <item x="483"/>
        <item x="587"/>
        <item x="25"/>
        <item x="121"/>
        <item x="696"/>
        <item x="280"/>
        <item x="380"/>
        <item x="484"/>
        <item x="588"/>
        <item x="26"/>
        <item x="122"/>
        <item x="697"/>
        <item x="281"/>
        <item x="381"/>
        <item x="485"/>
        <item x="589"/>
        <item x="27"/>
        <item x="123"/>
        <item x="189"/>
        <item x="282"/>
        <item x="382"/>
        <item x="486"/>
        <item x="590"/>
        <item x="28"/>
        <item x="124"/>
        <item x="190"/>
        <item x="283"/>
        <item x="383"/>
        <item x="487"/>
        <item x="591"/>
        <item x="29"/>
        <item x="125"/>
        <item x="191"/>
        <item x="284"/>
        <item x="384"/>
        <item x="488"/>
        <item x="592"/>
        <item x="30"/>
        <item x="126"/>
        <item x="192"/>
        <item x="285"/>
        <item x="385"/>
        <item x="489"/>
        <item x="593"/>
        <item x="31"/>
        <item x="127"/>
        <item x="193"/>
        <item x="286"/>
        <item x="386"/>
        <item x="490"/>
        <item x="594"/>
        <item x="32"/>
        <item x="128"/>
        <item x="194"/>
        <item x="287"/>
        <item x="387"/>
        <item x="491"/>
        <item x="595"/>
        <item x="33"/>
        <item x="129"/>
        <item x="195"/>
        <item x="288"/>
        <item x="388"/>
        <item x="492"/>
        <item x="596"/>
        <item x="34"/>
        <item x="130"/>
        <item x="196"/>
        <item x="289"/>
        <item x="389"/>
        <item x="493"/>
        <item x="597"/>
        <item x="35"/>
        <item x="131"/>
        <item x="197"/>
        <item x="290"/>
        <item x="390"/>
        <item x="494"/>
        <item x="598"/>
        <item x="36"/>
        <item x="132"/>
        <item x="198"/>
        <item x="291"/>
        <item x="391"/>
        <item x="495"/>
        <item x="599"/>
        <item x="37"/>
        <item x="133"/>
        <item x="199"/>
        <item x="292"/>
        <item x="392"/>
        <item x="496"/>
        <item x="600"/>
        <item x="38"/>
        <item x="134"/>
        <item x="200"/>
        <item x="293"/>
        <item x="393"/>
        <item x="497"/>
        <item x="601"/>
        <item x="39"/>
        <item x="135"/>
        <item x="201"/>
        <item x="294"/>
        <item x="394"/>
        <item x="498"/>
        <item x="602"/>
        <item x="40"/>
        <item x="136"/>
        <item x="202"/>
        <item x="295"/>
        <item x="395"/>
        <item x="499"/>
        <item x="603"/>
        <item x="41"/>
        <item x="137"/>
        <item x="203"/>
        <item x="296"/>
        <item x="396"/>
        <item x="500"/>
        <item x="604"/>
        <item x="42"/>
        <item x="138"/>
        <item x="204"/>
        <item x="297"/>
        <item x="397"/>
        <item x="501"/>
        <item x="605"/>
        <item x="43"/>
        <item x="139"/>
        <item x="205"/>
        <item x="298"/>
        <item x="398"/>
        <item x="502"/>
        <item x="606"/>
        <item x="44"/>
        <item x="140"/>
        <item x="206"/>
        <item x="299"/>
        <item x="399"/>
        <item x="503"/>
        <item x="607"/>
        <item x="45"/>
        <item x="141"/>
        <item x="207"/>
        <item x="300"/>
        <item x="400"/>
        <item x="504"/>
        <item x="608"/>
        <item x="46"/>
        <item x="142"/>
        <item x="208"/>
        <item x="301"/>
        <item x="401"/>
        <item x="505"/>
        <item x="609"/>
        <item x="47"/>
        <item x="143"/>
        <item x="209"/>
        <item x="302"/>
        <item x="402"/>
        <item x="506"/>
        <item x="610"/>
        <item x="48"/>
        <item x="144"/>
        <item x="210"/>
        <item x="303"/>
        <item x="403"/>
        <item x="507"/>
        <item x="611"/>
        <item x="82"/>
        <item x="145"/>
        <item x="211"/>
        <item x="304"/>
        <item x="404"/>
        <item x="508"/>
        <item x="612"/>
        <item x="83"/>
        <item x="146"/>
        <item x="212"/>
        <item x="305"/>
        <item x="405"/>
        <item x="509"/>
        <item x="613"/>
        <item x="84"/>
        <item x="147"/>
        <item x="213"/>
        <item x="306"/>
        <item x="406"/>
        <item x="510"/>
        <item x="614"/>
        <item x="85"/>
        <item x="148"/>
        <item x="214"/>
        <item x="307"/>
        <item x="407"/>
        <item x="511"/>
        <item x="615"/>
        <item x="86"/>
        <item x="149"/>
        <item x="215"/>
        <item x="308"/>
        <item x="408"/>
        <item x="512"/>
        <item x="616"/>
        <item x="87"/>
        <item x="150"/>
        <item x="216"/>
        <item t="default"/>
      </items>
    </pivotField>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5">
    <i>
      <x v="2"/>
    </i>
    <i>
      <x v="1"/>
    </i>
    <i>
      <x v="3"/>
    </i>
    <i>
      <x/>
    </i>
    <i t="grand">
      <x/>
    </i>
  </rowItems>
  <colItems count="1">
    <i/>
  </colItems>
  <dataFields count="1">
    <dataField name="Sum of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EECAEB-4DD1-41E2-A919-C2E0F50E5E4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fieldListSortAscending="1">
  <location ref="B46:D51" firstHeaderRow="0" firstDataRow="1" firstDataCol="1"/>
  <pivotFields count="19">
    <pivotField showAll="0">
      <items count="730">
        <item x="88"/>
        <item m="1" x="728"/>
        <item m="1" x="702"/>
        <item x="309"/>
        <item x="409"/>
        <item x="513"/>
        <item x="89"/>
        <item x="661"/>
        <item m="1" x="703"/>
        <item m="1" x="698"/>
        <item x="410"/>
        <item x="514"/>
        <item m="1" x="716"/>
        <item x="90"/>
        <item x="662"/>
        <item m="1" x="704"/>
        <item m="1" x="699"/>
        <item x="411"/>
        <item x="515"/>
        <item m="1" x="717"/>
        <item x="91"/>
        <item x="663"/>
        <item m="1" x="705"/>
        <item m="1" x="700"/>
        <item x="412"/>
        <item x="516"/>
        <item m="1" x="718"/>
        <item x="92"/>
        <item x="664"/>
        <item m="1" x="706"/>
        <item m="1" x="701"/>
        <item x="413"/>
        <item x="517"/>
        <item m="1" x="719"/>
        <item x="93"/>
        <item x="665"/>
        <item m="1" x="707"/>
        <item x="310"/>
        <item x="414"/>
        <item x="518"/>
        <item m="1" x="720"/>
        <item x="94"/>
        <item x="666"/>
        <item m="1" x="708"/>
        <item x="311"/>
        <item x="415"/>
        <item x="519"/>
        <item m="1" x="721"/>
        <item x="95"/>
        <item x="667"/>
        <item m="1" x="709"/>
        <item x="312"/>
        <item x="416"/>
        <item x="520"/>
        <item m="1" x="722"/>
        <item x="96"/>
        <item x="659"/>
        <item x="217"/>
        <item x="313"/>
        <item x="417"/>
        <item x="521"/>
        <item x="660"/>
        <item x="97"/>
        <item x="668"/>
        <item m="1" x="710"/>
        <item x="314"/>
        <item x="418"/>
        <item x="522"/>
        <item m="1" x="723"/>
        <item x="617"/>
        <item x="669"/>
        <item m="1" x="711"/>
        <item x="315"/>
        <item x="419"/>
        <item x="523"/>
        <item m="1" x="724"/>
        <item x="618"/>
        <item x="670"/>
        <item m="1" x="712"/>
        <item x="316"/>
        <item x="420"/>
        <item x="524"/>
        <item m="1" x="725"/>
        <item x="619"/>
        <item x="671"/>
        <item m="1" x="713"/>
        <item x="317"/>
        <item x="421"/>
        <item x="525"/>
        <item m="1" x="726"/>
        <item x="620"/>
        <item x="672"/>
        <item x="218"/>
        <item x="318"/>
        <item x="422"/>
        <item x="526"/>
        <item m="1" x="727"/>
        <item x="621"/>
        <item x="673"/>
        <item x="219"/>
        <item x="319"/>
        <item x="423"/>
        <item x="527"/>
        <item x="49"/>
        <item x="622"/>
        <item x="674"/>
        <item x="220"/>
        <item x="320"/>
        <item x="424"/>
        <item x="528"/>
        <item x="50"/>
        <item x="623"/>
        <item x="675"/>
        <item x="221"/>
        <item x="321"/>
        <item x="425"/>
        <item x="529"/>
        <item x="51"/>
        <item x="624"/>
        <item x="676"/>
        <item x="222"/>
        <item x="322"/>
        <item x="426"/>
        <item x="530"/>
        <item x="52"/>
        <item x="625"/>
        <item x="677"/>
        <item x="223"/>
        <item x="323"/>
        <item x="427"/>
        <item x="531"/>
        <item x="53"/>
        <item x="626"/>
        <item x="678"/>
        <item x="224"/>
        <item x="324"/>
        <item x="428"/>
        <item x="532"/>
        <item x="54"/>
        <item x="627"/>
        <item x="679"/>
        <item x="225"/>
        <item x="325"/>
        <item x="429"/>
        <item x="533"/>
        <item x="55"/>
        <item x="628"/>
        <item x="680"/>
        <item x="226"/>
        <item x="326"/>
        <item x="430"/>
        <item x="534"/>
        <item x="56"/>
        <item x="629"/>
        <item x="681"/>
        <item x="227"/>
        <item x="327"/>
        <item x="431"/>
        <item x="535"/>
        <item x="57"/>
        <item x="630"/>
        <item x="682"/>
        <item x="228"/>
        <item x="328"/>
        <item x="432"/>
        <item x="536"/>
        <item x="58"/>
        <item x="631"/>
        <item x="683"/>
        <item x="229"/>
        <item x="329"/>
        <item x="433"/>
        <item x="537"/>
        <item x="59"/>
        <item x="632"/>
        <item x="151"/>
        <item x="230"/>
        <item x="330"/>
        <item x="434"/>
        <item x="538"/>
        <item x="60"/>
        <item x="98"/>
        <item x="152"/>
        <item x="231"/>
        <item x="331"/>
        <item x="435"/>
        <item x="539"/>
        <item x="61"/>
        <item x="99"/>
        <item x="153"/>
        <item x="232"/>
        <item x="332"/>
        <item x="436"/>
        <item x="540"/>
        <item x="62"/>
        <item x="100"/>
        <item x="154"/>
        <item x="233"/>
        <item x="333"/>
        <item x="437"/>
        <item x="541"/>
        <item x="63"/>
        <item x="101"/>
        <item x="155"/>
        <item x="234"/>
        <item x="334"/>
        <item x="438"/>
        <item x="542"/>
        <item x="64"/>
        <item x="102"/>
        <item x="156"/>
        <item x="235"/>
        <item x="335"/>
        <item x="439"/>
        <item x="543"/>
        <item x="65"/>
        <item x="103"/>
        <item x="157"/>
        <item x="236"/>
        <item x="336"/>
        <item x="440"/>
        <item x="544"/>
        <item x="66"/>
        <item x="633"/>
        <item x="158"/>
        <item x="237"/>
        <item x="337"/>
        <item x="441"/>
        <item x="545"/>
        <item x="67"/>
        <item x="634"/>
        <item x="159"/>
        <item x="238"/>
        <item x="338"/>
        <item x="442"/>
        <item x="546"/>
        <item x="68"/>
        <item x="635"/>
        <item x="160"/>
        <item x="239"/>
        <item x="339"/>
        <item x="443"/>
        <item x="547"/>
        <item x="69"/>
        <item x="636"/>
        <item x="161"/>
        <item x="240"/>
        <item x="340"/>
        <item x="444"/>
        <item x="548"/>
        <item x="70"/>
        <item x="637"/>
        <item x="162"/>
        <item x="241"/>
        <item x="341"/>
        <item x="445"/>
        <item x="549"/>
        <item x="71"/>
        <item x="638"/>
        <item x="163"/>
        <item x="242"/>
        <item x="342"/>
        <item x="446"/>
        <item x="550"/>
        <item x="72"/>
        <item x="639"/>
        <item x="164"/>
        <item x="243"/>
        <item x="343"/>
        <item x="447"/>
        <item x="551"/>
        <item x="73"/>
        <item x="640"/>
        <item x="165"/>
        <item x="244"/>
        <item x="344"/>
        <item x="448"/>
        <item x="552"/>
        <item x="74"/>
        <item x="641"/>
        <item x="166"/>
        <item x="245"/>
        <item x="345"/>
        <item x="449"/>
        <item x="553"/>
        <item x="75"/>
        <item x="642"/>
        <item x="167"/>
        <item x="246"/>
        <item x="346"/>
        <item x="450"/>
        <item x="554"/>
        <item x="76"/>
        <item x="643"/>
        <item x="168"/>
        <item x="247"/>
        <item x="347"/>
        <item x="451"/>
        <item x="555"/>
        <item x="77"/>
        <item x="644"/>
        <item x="169"/>
        <item x="248"/>
        <item x="348"/>
        <item x="452"/>
        <item x="556"/>
        <item x="78"/>
        <item x="104"/>
        <item x="170"/>
        <item x="249"/>
        <item x="349"/>
        <item x="453"/>
        <item x="557"/>
        <item x="79"/>
        <item x="105"/>
        <item x="171"/>
        <item x="250"/>
        <item x="350"/>
        <item x="454"/>
        <item x="558"/>
        <item x="80"/>
        <item x="106"/>
        <item x="172"/>
        <item x="251"/>
        <item x="351"/>
        <item x="455"/>
        <item x="559"/>
        <item x="81"/>
        <item x="107"/>
        <item x="173"/>
        <item x="252"/>
        <item x="352"/>
        <item x="456"/>
        <item x="560"/>
        <item x="0"/>
        <item x="108"/>
        <item x="174"/>
        <item x="253"/>
        <item x="353"/>
        <item x="457"/>
        <item x="561"/>
        <item x="1"/>
        <item x="109"/>
        <item x="175"/>
        <item x="254"/>
        <item x="354"/>
        <item x="458"/>
        <item x="562"/>
        <item x="2"/>
        <item x="110"/>
        <item x="176"/>
        <item x="255"/>
        <item x="355"/>
        <item x="459"/>
        <item x="563"/>
        <item x="3"/>
        <item x="111"/>
        <item x="177"/>
        <item x="256"/>
        <item x="356"/>
        <item x="460"/>
        <item x="564"/>
        <item x="4"/>
        <item x="645"/>
        <item x="178"/>
        <item x="257"/>
        <item x="357"/>
        <item x="461"/>
        <item x="565"/>
        <item m="1" x="714"/>
        <item x="646"/>
        <item x="179"/>
        <item x="258"/>
        <item x="358"/>
        <item x="462"/>
        <item x="566"/>
        <item m="1" x="715"/>
        <item x="647"/>
        <item x="180"/>
        <item x="259"/>
        <item x="359"/>
        <item x="463"/>
        <item x="567"/>
        <item x="5"/>
        <item x="648"/>
        <item x="181"/>
        <item x="260"/>
        <item x="360"/>
        <item x="464"/>
        <item x="568"/>
        <item x="6"/>
        <item x="649"/>
        <item x="182"/>
        <item x="261"/>
        <item x="361"/>
        <item x="465"/>
        <item x="569"/>
        <item x="7"/>
        <item x="650"/>
        <item x="183"/>
        <item x="262"/>
        <item x="362"/>
        <item x="466"/>
        <item x="570"/>
        <item x="8"/>
        <item x="651"/>
        <item x="184"/>
        <item x="263"/>
        <item x="363"/>
        <item x="467"/>
        <item x="571"/>
        <item x="9"/>
        <item x="652"/>
        <item x="185"/>
        <item x="264"/>
        <item x="364"/>
        <item x="468"/>
        <item x="572"/>
        <item x="10"/>
        <item x="653"/>
        <item x="186"/>
        <item x="265"/>
        <item x="365"/>
        <item x="469"/>
        <item x="573"/>
        <item x="11"/>
        <item x="654"/>
        <item x="187"/>
        <item x="266"/>
        <item x="366"/>
        <item x="470"/>
        <item x="574"/>
        <item x="12"/>
        <item x="655"/>
        <item x="188"/>
        <item x="267"/>
        <item x="367"/>
        <item x="471"/>
        <item x="575"/>
        <item x="13"/>
        <item x="656"/>
        <item x="684"/>
        <item x="268"/>
        <item x="368"/>
        <item x="472"/>
        <item x="576"/>
        <item x="14"/>
        <item x="657"/>
        <item x="685"/>
        <item x="269"/>
        <item x="369"/>
        <item x="473"/>
        <item x="577"/>
        <item x="15"/>
        <item x="658"/>
        <item x="686"/>
        <item x="270"/>
        <item x="370"/>
        <item x="474"/>
        <item x="578"/>
        <item x="16"/>
        <item x="112"/>
        <item x="687"/>
        <item x="271"/>
        <item x="371"/>
        <item x="475"/>
        <item x="579"/>
        <item x="17"/>
        <item x="113"/>
        <item x="688"/>
        <item x="272"/>
        <item x="372"/>
        <item x="476"/>
        <item x="580"/>
        <item x="18"/>
        <item x="114"/>
        <item x="689"/>
        <item x="273"/>
        <item x="373"/>
        <item x="477"/>
        <item x="581"/>
        <item x="19"/>
        <item x="115"/>
        <item x="690"/>
        <item x="274"/>
        <item x="374"/>
        <item x="478"/>
        <item x="582"/>
        <item x="20"/>
        <item x="116"/>
        <item x="691"/>
        <item x="275"/>
        <item x="375"/>
        <item x="479"/>
        <item x="583"/>
        <item x="21"/>
        <item x="117"/>
        <item x="692"/>
        <item x="276"/>
        <item x="376"/>
        <item x="480"/>
        <item x="584"/>
        <item x="22"/>
        <item x="118"/>
        <item x="693"/>
        <item x="277"/>
        <item x="377"/>
        <item x="481"/>
        <item x="585"/>
        <item x="23"/>
        <item x="119"/>
        <item x="694"/>
        <item x="278"/>
        <item x="378"/>
        <item x="482"/>
        <item x="586"/>
        <item x="24"/>
        <item x="120"/>
        <item x="695"/>
        <item x="279"/>
        <item x="379"/>
        <item x="483"/>
        <item x="587"/>
        <item x="25"/>
        <item x="121"/>
        <item x="696"/>
        <item x="280"/>
        <item x="380"/>
        <item x="484"/>
        <item x="588"/>
        <item x="26"/>
        <item x="122"/>
        <item x="697"/>
        <item x="281"/>
        <item x="381"/>
        <item x="485"/>
        <item x="589"/>
        <item x="27"/>
        <item x="123"/>
        <item x="189"/>
        <item x="282"/>
        <item x="382"/>
        <item x="486"/>
        <item x="590"/>
        <item x="28"/>
        <item x="124"/>
        <item x="190"/>
        <item x="283"/>
        <item x="383"/>
        <item x="487"/>
        <item x="591"/>
        <item x="29"/>
        <item x="125"/>
        <item x="191"/>
        <item x="284"/>
        <item x="384"/>
        <item x="488"/>
        <item x="592"/>
        <item x="30"/>
        <item x="126"/>
        <item x="192"/>
        <item x="285"/>
        <item x="385"/>
        <item x="489"/>
        <item x="593"/>
        <item x="31"/>
        <item x="127"/>
        <item x="193"/>
        <item x="286"/>
        <item x="386"/>
        <item x="490"/>
        <item x="594"/>
        <item x="32"/>
        <item x="128"/>
        <item x="194"/>
        <item x="287"/>
        <item x="387"/>
        <item x="491"/>
        <item x="595"/>
        <item x="33"/>
        <item x="129"/>
        <item x="195"/>
        <item x="288"/>
        <item x="388"/>
        <item x="492"/>
        <item x="596"/>
        <item x="34"/>
        <item x="130"/>
        <item x="196"/>
        <item x="289"/>
        <item x="389"/>
        <item x="493"/>
        <item x="597"/>
        <item x="35"/>
        <item x="131"/>
        <item x="197"/>
        <item x="290"/>
        <item x="390"/>
        <item x="494"/>
        <item x="598"/>
        <item x="36"/>
        <item x="132"/>
        <item x="198"/>
        <item x="291"/>
        <item x="391"/>
        <item x="495"/>
        <item x="599"/>
        <item x="37"/>
        <item x="133"/>
        <item x="199"/>
        <item x="292"/>
        <item x="392"/>
        <item x="496"/>
        <item x="600"/>
        <item x="38"/>
        <item x="134"/>
        <item x="200"/>
        <item x="293"/>
        <item x="393"/>
        <item x="497"/>
        <item x="601"/>
        <item x="39"/>
        <item x="135"/>
        <item x="201"/>
        <item x="294"/>
        <item x="394"/>
        <item x="498"/>
        <item x="602"/>
        <item x="40"/>
        <item x="136"/>
        <item x="202"/>
        <item x="295"/>
        <item x="395"/>
        <item x="499"/>
        <item x="603"/>
        <item x="41"/>
        <item x="137"/>
        <item x="203"/>
        <item x="296"/>
        <item x="396"/>
        <item x="500"/>
        <item x="604"/>
        <item x="42"/>
        <item x="138"/>
        <item x="204"/>
        <item x="297"/>
        <item x="397"/>
        <item x="501"/>
        <item x="605"/>
        <item x="43"/>
        <item x="139"/>
        <item x="205"/>
        <item x="298"/>
        <item x="398"/>
        <item x="502"/>
        <item x="606"/>
        <item x="44"/>
        <item x="140"/>
        <item x="206"/>
        <item x="299"/>
        <item x="399"/>
        <item x="503"/>
        <item x="607"/>
        <item x="45"/>
        <item x="141"/>
        <item x="207"/>
        <item x="300"/>
        <item x="400"/>
        <item x="504"/>
        <item x="608"/>
        <item x="46"/>
        <item x="142"/>
        <item x="208"/>
        <item x="301"/>
        <item x="401"/>
        <item x="505"/>
        <item x="609"/>
        <item x="47"/>
        <item x="143"/>
        <item x="209"/>
        <item x="302"/>
        <item x="402"/>
        <item x="506"/>
        <item x="610"/>
        <item x="48"/>
        <item x="144"/>
        <item x="210"/>
        <item x="303"/>
        <item x="403"/>
        <item x="507"/>
        <item x="611"/>
        <item x="82"/>
        <item x="145"/>
        <item x="211"/>
        <item x="304"/>
        <item x="404"/>
        <item x="508"/>
        <item x="612"/>
        <item x="83"/>
        <item x="146"/>
        <item x="212"/>
        <item x="305"/>
        <item x="405"/>
        <item x="509"/>
        <item x="613"/>
        <item x="84"/>
        <item x="147"/>
        <item x="213"/>
        <item x="306"/>
        <item x="406"/>
        <item x="510"/>
        <item x="614"/>
        <item x="85"/>
        <item x="148"/>
        <item x="214"/>
        <item x="307"/>
        <item x="407"/>
        <item x="511"/>
        <item x="615"/>
        <item x="86"/>
        <item x="149"/>
        <item x="215"/>
        <item x="308"/>
        <item x="408"/>
        <item x="512"/>
        <item x="616"/>
        <item x="87"/>
        <item x="150"/>
        <item x="216"/>
        <item t="default"/>
      </items>
    </pivotField>
    <pivotField showAll="0"/>
    <pivotField showAll="0"/>
    <pivotField showAll="0"/>
    <pivotField showAll="0"/>
    <pivotField axis="axisRow" showAll="0" sortType="a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dataField="1"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5">
    <i>
      <x/>
    </i>
    <i>
      <x v="3"/>
    </i>
    <i>
      <x v="2"/>
    </i>
    <i>
      <x v="1"/>
    </i>
    <i t="grand">
      <x/>
    </i>
  </rowItems>
  <colFields count="1">
    <field x="-2"/>
  </colFields>
  <colItems count="2">
    <i>
      <x/>
    </i>
    <i i="1">
      <x v="1"/>
    </i>
  </colItems>
  <dataFields count="2">
    <dataField name="Sum of Revenue" fld="12" baseField="0" baseItem="0"/>
    <dataField name="Sum of Conversion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908C61-19BF-4D04-B06D-859D9F4F837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B10:E24" firstHeaderRow="1" firstDataRow="2" firstDataCol="1"/>
  <pivotFields count="19">
    <pivotField showAll="0">
      <items count="730">
        <item x="88"/>
        <item m="1" x="728"/>
        <item m="1" x="702"/>
        <item x="309"/>
        <item x="409"/>
        <item x="513"/>
        <item x="89"/>
        <item x="661"/>
        <item m="1" x="703"/>
        <item m="1" x="698"/>
        <item x="410"/>
        <item x="514"/>
        <item m="1" x="716"/>
        <item x="90"/>
        <item x="662"/>
        <item m="1" x="704"/>
        <item m="1" x="699"/>
        <item x="411"/>
        <item x="515"/>
        <item m="1" x="717"/>
        <item x="91"/>
        <item x="663"/>
        <item m="1" x="705"/>
        <item m="1" x="700"/>
        <item x="412"/>
        <item x="516"/>
        <item m="1" x="718"/>
        <item x="92"/>
        <item x="664"/>
        <item m="1" x="706"/>
        <item m="1" x="701"/>
        <item x="413"/>
        <item x="517"/>
        <item m="1" x="719"/>
        <item x="93"/>
        <item x="665"/>
        <item m="1" x="707"/>
        <item x="310"/>
        <item x="414"/>
        <item x="518"/>
        <item m="1" x="720"/>
        <item x="94"/>
        <item x="666"/>
        <item m="1" x="708"/>
        <item x="311"/>
        <item x="415"/>
        <item x="519"/>
        <item m="1" x="721"/>
        <item x="95"/>
        <item x="667"/>
        <item m="1" x="709"/>
        <item x="312"/>
        <item x="416"/>
        <item x="520"/>
        <item m="1" x="722"/>
        <item x="96"/>
        <item x="659"/>
        <item x="217"/>
        <item x="313"/>
        <item x="417"/>
        <item x="521"/>
        <item x="660"/>
        <item x="97"/>
        <item x="668"/>
        <item m="1" x="710"/>
        <item x="314"/>
        <item x="418"/>
        <item x="522"/>
        <item m="1" x="723"/>
        <item x="617"/>
        <item x="669"/>
        <item m="1" x="711"/>
        <item x="315"/>
        <item x="419"/>
        <item x="523"/>
        <item m="1" x="724"/>
        <item x="618"/>
        <item x="670"/>
        <item m="1" x="712"/>
        <item x="316"/>
        <item x="420"/>
        <item x="524"/>
        <item m="1" x="725"/>
        <item x="619"/>
        <item x="671"/>
        <item m="1" x="713"/>
        <item x="317"/>
        <item x="421"/>
        <item x="525"/>
        <item m="1" x="726"/>
        <item x="620"/>
        <item x="672"/>
        <item x="218"/>
        <item x="318"/>
        <item x="422"/>
        <item x="526"/>
        <item m="1" x="727"/>
        <item x="621"/>
        <item x="673"/>
        <item x="219"/>
        <item x="319"/>
        <item x="423"/>
        <item x="527"/>
        <item x="49"/>
        <item x="622"/>
        <item x="674"/>
        <item x="220"/>
        <item x="320"/>
        <item x="424"/>
        <item x="528"/>
        <item x="50"/>
        <item x="623"/>
        <item x="675"/>
        <item x="221"/>
        <item x="321"/>
        <item x="425"/>
        <item x="529"/>
        <item x="51"/>
        <item x="624"/>
        <item x="676"/>
        <item x="222"/>
        <item x="322"/>
        <item x="426"/>
        <item x="530"/>
        <item x="52"/>
        <item x="625"/>
        <item x="677"/>
        <item x="223"/>
        <item x="323"/>
        <item x="427"/>
        <item x="531"/>
        <item x="53"/>
        <item x="626"/>
        <item x="678"/>
        <item x="224"/>
        <item x="324"/>
        <item x="428"/>
        <item x="532"/>
        <item x="54"/>
        <item x="627"/>
        <item x="679"/>
        <item x="225"/>
        <item x="325"/>
        <item x="429"/>
        <item x="533"/>
        <item x="55"/>
        <item x="628"/>
        <item x="680"/>
        <item x="226"/>
        <item x="326"/>
        <item x="430"/>
        <item x="534"/>
        <item x="56"/>
        <item x="629"/>
        <item x="681"/>
        <item x="227"/>
        <item x="327"/>
        <item x="431"/>
        <item x="535"/>
        <item x="57"/>
        <item x="630"/>
        <item x="682"/>
        <item x="228"/>
        <item x="328"/>
        <item x="432"/>
        <item x="536"/>
        <item x="58"/>
        <item x="631"/>
        <item x="683"/>
        <item x="229"/>
        <item x="329"/>
        <item x="433"/>
        <item x="537"/>
        <item x="59"/>
        <item x="632"/>
        <item x="151"/>
        <item x="230"/>
        <item x="330"/>
        <item x="434"/>
        <item x="538"/>
        <item x="60"/>
        <item x="98"/>
        <item x="152"/>
        <item x="231"/>
        <item x="331"/>
        <item x="435"/>
        <item x="539"/>
        <item x="61"/>
        <item x="99"/>
        <item x="153"/>
        <item x="232"/>
        <item x="332"/>
        <item x="436"/>
        <item x="540"/>
        <item x="62"/>
        <item x="100"/>
        <item x="154"/>
        <item x="233"/>
        <item x="333"/>
        <item x="437"/>
        <item x="541"/>
        <item x="63"/>
        <item x="101"/>
        <item x="155"/>
        <item x="234"/>
        <item x="334"/>
        <item x="438"/>
        <item x="542"/>
        <item x="64"/>
        <item x="102"/>
        <item x="156"/>
        <item x="235"/>
        <item x="335"/>
        <item x="439"/>
        <item x="543"/>
        <item x="65"/>
        <item x="103"/>
        <item x="157"/>
        <item x="236"/>
        <item x="336"/>
        <item x="440"/>
        <item x="544"/>
        <item x="66"/>
        <item x="633"/>
        <item x="158"/>
        <item x="237"/>
        <item x="337"/>
        <item x="441"/>
        <item x="545"/>
        <item x="67"/>
        <item x="634"/>
        <item x="159"/>
        <item x="238"/>
        <item x="338"/>
        <item x="442"/>
        <item x="546"/>
        <item x="68"/>
        <item x="635"/>
        <item x="160"/>
        <item x="239"/>
        <item x="339"/>
        <item x="443"/>
        <item x="547"/>
        <item x="69"/>
        <item x="636"/>
        <item x="161"/>
        <item x="240"/>
        <item x="340"/>
        <item x="444"/>
        <item x="548"/>
        <item x="70"/>
        <item x="637"/>
        <item x="162"/>
        <item x="241"/>
        <item x="341"/>
        <item x="445"/>
        <item x="549"/>
        <item x="71"/>
        <item x="638"/>
        <item x="163"/>
        <item x="242"/>
        <item x="342"/>
        <item x="446"/>
        <item x="550"/>
        <item x="72"/>
        <item x="639"/>
        <item x="164"/>
        <item x="243"/>
        <item x="343"/>
        <item x="447"/>
        <item x="551"/>
        <item x="73"/>
        <item x="640"/>
        <item x="165"/>
        <item x="244"/>
        <item x="344"/>
        <item x="448"/>
        <item x="552"/>
        <item x="74"/>
        <item x="641"/>
        <item x="166"/>
        <item x="245"/>
        <item x="345"/>
        <item x="449"/>
        <item x="553"/>
        <item x="75"/>
        <item x="642"/>
        <item x="167"/>
        <item x="246"/>
        <item x="346"/>
        <item x="450"/>
        <item x="554"/>
        <item x="76"/>
        <item x="643"/>
        <item x="168"/>
        <item x="247"/>
        <item x="347"/>
        <item x="451"/>
        <item x="555"/>
        <item x="77"/>
        <item x="644"/>
        <item x="169"/>
        <item x="248"/>
        <item x="348"/>
        <item x="452"/>
        <item x="556"/>
        <item x="78"/>
        <item x="104"/>
        <item x="170"/>
        <item x="249"/>
        <item x="349"/>
        <item x="453"/>
        <item x="557"/>
        <item x="79"/>
        <item x="105"/>
        <item x="171"/>
        <item x="250"/>
        <item x="350"/>
        <item x="454"/>
        <item x="558"/>
        <item x="80"/>
        <item x="106"/>
        <item x="172"/>
        <item x="251"/>
        <item x="351"/>
        <item x="455"/>
        <item x="559"/>
        <item x="81"/>
        <item x="107"/>
        <item x="173"/>
        <item x="252"/>
        <item x="352"/>
        <item x="456"/>
        <item x="560"/>
        <item x="0"/>
        <item x="108"/>
        <item x="174"/>
        <item x="253"/>
        <item x="353"/>
        <item x="457"/>
        <item x="561"/>
        <item x="1"/>
        <item x="109"/>
        <item x="175"/>
        <item x="254"/>
        <item x="354"/>
        <item x="458"/>
        <item x="562"/>
        <item x="2"/>
        <item x="110"/>
        <item x="176"/>
        <item x="255"/>
        <item x="355"/>
        <item x="459"/>
        <item x="563"/>
        <item x="3"/>
        <item x="111"/>
        <item x="177"/>
        <item x="256"/>
        <item x="356"/>
        <item x="460"/>
        <item x="564"/>
        <item x="4"/>
        <item x="645"/>
        <item x="178"/>
        <item x="257"/>
        <item x="357"/>
        <item x="461"/>
        <item x="565"/>
        <item m="1" x="714"/>
        <item x="646"/>
        <item x="179"/>
        <item x="258"/>
        <item x="358"/>
        <item x="462"/>
        <item x="566"/>
        <item m="1" x="715"/>
        <item x="647"/>
        <item x="180"/>
        <item x="259"/>
        <item x="359"/>
        <item x="463"/>
        <item x="567"/>
        <item x="5"/>
        <item x="648"/>
        <item x="181"/>
        <item x="260"/>
        <item x="360"/>
        <item x="464"/>
        <item x="568"/>
        <item x="6"/>
        <item x="649"/>
        <item x="182"/>
        <item x="261"/>
        <item x="361"/>
        <item x="465"/>
        <item x="569"/>
        <item x="7"/>
        <item x="650"/>
        <item x="183"/>
        <item x="262"/>
        <item x="362"/>
        <item x="466"/>
        <item x="570"/>
        <item x="8"/>
        <item x="651"/>
        <item x="184"/>
        <item x="263"/>
        <item x="363"/>
        <item x="467"/>
        <item x="571"/>
        <item x="9"/>
        <item x="652"/>
        <item x="185"/>
        <item x="264"/>
        <item x="364"/>
        <item x="468"/>
        <item x="572"/>
        <item x="10"/>
        <item x="653"/>
        <item x="186"/>
        <item x="265"/>
        <item x="365"/>
        <item x="469"/>
        <item x="573"/>
        <item x="11"/>
        <item x="654"/>
        <item x="187"/>
        <item x="266"/>
        <item x="366"/>
        <item x="470"/>
        <item x="574"/>
        <item x="12"/>
        <item x="655"/>
        <item x="188"/>
        <item x="267"/>
        <item x="367"/>
        <item x="471"/>
        <item x="575"/>
        <item x="13"/>
        <item x="656"/>
        <item x="684"/>
        <item x="268"/>
        <item x="368"/>
        <item x="472"/>
        <item x="576"/>
        <item x="14"/>
        <item x="657"/>
        <item x="685"/>
        <item x="269"/>
        <item x="369"/>
        <item x="473"/>
        <item x="577"/>
        <item x="15"/>
        <item x="658"/>
        <item x="686"/>
        <item x="270"/>
        <item x="370"/>
        <item x="474"/>
        <item x="578"/>
        <item x="16"/>
        <item x="112"/>
        <item x="687"/>
        <item x="271"/>
        <item x="371"/>
        <item x="475"/>
        <item x="579"/>
        <item x="17"/>
        <item x="113"/>
        <item x="688"/>
        <item x="272"/>
        <item x="372"/>
        <item x="476"/>
        <item x="580"/>
        <item x="18"/>
        <item x="114"/>
        <item x="689"/>
        <item x="273"/>
        <item x="373"/>
        <item x="477"/>
        <item x="581"/>
        <item x="19"/>
        <item x="115"/>
        <item x="690"/>
        <item x="274"/>
        <item x="374"/>
        <item x="478"/>
        <item x="582"/>
        <item x="20"/>
        <item x="116"/>
        <item x="691"/>
        <item x="275"/>
        <item x="375"/>
        <item x="479"/>
        <item x="583"/>
        <item x="21"/>
        <item x="117"/>
        <item x="692"/>
        <item x="276"/>
        <item x="376"/>
        <item x="480"/>
        <item x="584"/>
        <item x="22"/>
        <item x="118"/>
        <item x="693"/>
        <item x="277"/>
        <item x="377"/>
        <item x="481"/>
        <item x="585"/>
        <item x="23"/>
        <item x="119"/>
        <item x="694"/>
        <item x="278"/>
        <item x="378"/>
        <item x="482"/>
        <item x="586"/>
        <item x="24"/>
        <item x="120"/>
        <item x="695"/>
        <item x="279"/>
        <item x="379"/>
        <item x="483"/>
        <item x="587"/>
        <item x="25"/>
        <item x="121"/>
        <item x="696"/>
        <item x="280"/>
        <item x="380"/>
        <item x="484"/>
        <item x="588"/>
        <item x="26"/>
        <item x="122"/>
        <item x="697"/>
        <item x="281"/>
        <item x="381"/>
        <item x="485"/>
        <item x="589"/>
        <item x="27"/>
        <item x="123"/>
        <item x="189"/>
        <item x="282"/>
        <item x="382"/>
        <item x="486"/>
        <item x="590"/>
        <item x="28"/>
        <item x="124"/>
        <item x="190"/>
        <item x="283"/>
        <item x="383"/>
        <item x="487"/>
        <item x="591"/>
        <item x="29"/>
        <item x="125"/>
        <item x="191"/>
        <item x="284"/>
        <item x="384"/>
        <item x="488"/>
        <item x="592"/>
        <item x="30"/>
        <item x="126"/>
        <item x="192"/>
        <item x="285"/>
        <item x="385"/>
        <item x="489"/>
        <item x="593"/>
        <item x="31"/>
        <item x="127"/>
        <item x="193"/>
        <item x="286"/>
        <item x="386"/>
        <item x="490"/>
        <item x="594"/>
        <item x="32"/>
        <item x="128"/>
        <item x="194"/>
        <item x="287"/>
        <item x="387"/>
        <item x="491"/>
        <item x="595"/>
        <item x="33"/>
        <item x="129"/>
        <item x="195"/>
        <item x="288"/>
        <item x="388"/>
        <item x="492"/>
        <item x="596"/>
        <item x="34"/>
        <item x="130"/>
        <item x="196"/>
        <item x="289"/>
        <item x="389"/>
        <item x="493"/>
        <item x="597"/>
        <item x="35"/>
        <item x="131"/>
        <item x="197"/>
        <item x="290"/>
        <item x="390"/>
        <item x="494"/>
        <item x="598"/>
        <item x="36"/>
        <item x="132"/>
        <item x="198"/>
        <item x="291"/>
        <item x="391"/>
        <item x="495"/>
        <item x="599"/>
        <item x="37"/>
        <item x="133"/>
        <item x="199"/>
        <item x="292"/>
        <item x="392"/>
        <item x="496"/>
        <item x="600"/>
        <item x="38"/>
        <item x="134"/>
        <item x="200"/>
        <item x="293"/>
        <item x="393"/>
        <item x="497"/>
        <item x="601"/>
        <item x="39"/>
        <item x="135"/>
        <item x="201"/>
        <item x="294"/>
        <item x="394"/>
        <item x="498"/>
        <item x="602"/>
        <item x="40"/>
        <item x="136"/>
        <item x="202"/>
        <item x="295"/>
        <item x="395"/>
        <item x="499"/>
        <item x="603"/>
        <item x="41"/>
        <item x="137"/>
        <item x="203"/>
        <item x="296"/>
        <item x="396"/>
        <item x="500"/>
        <item x="604"/>
        <item x="42"/>
        <item x="138"/>
        <item x="204"/>
        <item x="297"/>
        <item x="397"/>
        <item x="501"/>
        <item x="605"/>
        <item x="43"/>
        <item x="139"/>
        <item x="205"/>
        <item x="298"/>
        <item x="398"/>
        <item x="502"/>
        <item x="606"/>
        <item x="44"/>
        <item x="140"/>
        <item x="206"/>
        <item x="299"/>
        <item x="399"/>
        <item x="503"/>
        <item x="607"/>
        <item x="45"/>
        <item x="141"/>
        <item x="207"/>
        <item x="300"/>
        <item x="400"/>
        <item x="504"/>
        <item x="608"/>
        <item x="46"/>
        <item x="142"/>
        <item x="208"/>
        <item x="301"/>
        <item x="401"/>
        <item x="505"/>
        <item x="609"/>
        <item x="47"/>
        <item x="143"/>
        <item x="209"/>
        <item x="302"/>
        <item x="402"/>
        <item x="506"/>
        <item x="610"/>
        <item x="48"/>
        <item x="144"/>
        <item x="210"/>
        <item x="303"/>
        <item x="403"/>
        <item x="507"/>
        <item x="611"/>
        <item x="82"/>
        <item x="145"/>
        <item x="211"/>
        <item x="304"/>
        <item x="404"/>
        <item x="508"/>
        <item x="612"/>
        <item x="83"/>
        <item x="146"/>
        <item x="212"/>
        <item x="305"/>
        <item x="405"/>
        <item x="509"/>
        <item x="613"/>
        <item x="84"/>
        <item x="147"/>
        <item x="213"/>
        <item x="306"/>
        <item x="406"/>
        <item x="510"/>
        <item x="614"/>
        <item x="85"/>
        <item x="148"/>
        <item x="214"/>
        <item x="307"/>
        <item x="407"/>
        <item x="511"/>
        <item x="615"/>
        <item x="86"/>
        <item x="149"/>
        <item x="215"/>
        <item x="308"/>
        <item x="408"/>
        <item x="512"/>
        <item x="616"/>
        <item x="87"/>
        <item x="150"/>
        <item x="21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16"/>
  </rowFields>
  <rowItems count="13">
    <i>
      <x v="1"/>
    </i>
    <i>
      <x v="2"/>
    </i>
    <i>
      <x v="3"/>
    </i>
    <i>
      <x v="4"/>
    </i>
    <i>
      <x v="5"/>
    </i>
    <i>
      <x v="6"/>
    </i>
    <i>
      <x v="7"/>
    </i>
    <i>
      <x v="8"/>
    </i>
    <i>
      <x v="9"/>
    </i>
    <i>
      <x v="10"/>
    </i>
    <i>
      <x v="11"/>
    </i>
    <i>
      <x v="12"/>
    </i>
    <i t="grand">
      <x/>
    </i>
  </rowItems>
  <colFields count="1">
    <field x="18"/>
  </colFields>
  <colItems count="3">
    <i>
      <x v="1"/>
    </i>
    <i>
      <x v="2"/>
    </i>
    <i t="grand">
      <x/>
    </i>
  </colItems>
  <dataFields count="1">
    <dataField name="Sum of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E8BE0F-5A7D-4EAF-976A-A6D60B05235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fieldListSortAscending="1">
  <location ref="B73:D86" firstHeaderRow="0" firstDataRow="1" firstDataCol="1"/>
  <pivotFields count="19">
    <pivotField showAll="0">
      <items count="730">
        <item x="88"/>
        <item m="1" x="728"/>
        <item m="1" x="702"/>
        <item x="309"/>
        <item x="409"/>
        <item x="513"/>
        <item x="89"/>
        <item x="661"/>
        <item m="1" x="703"/>
        <item m="1" x="698"/>
        <item x="410"/>
        <item x="514"/>
        <item m="1" x="716"/>
        <item x="90"/>
        <item x="662"/>
        <item m="1" x="704"/>
        <item m="1" x="699"/>
        <item x="411"/>
        <item x="515"/>
        <item m="1" x="717"/>
        <item x="91"/>
        <item x="663"/>
        <item m="1" x="705"/>
        <item m="1" x="700"/>
        <item x="412"/>
        <item x="516"/>
        <item m="1" x="718"/>
        <item x="92"/>
        <item x="664"/>
        <item m="1" x="706"/>
        <item m="1" x="701"/>
        <item x="413"/>
        <item x="517"/>
        <item m="1" x="719"/>
        <item x="93"/>
        <item x="665"/>
        <item m="1" x="707"/>
        <item x="310"/>
        <item x="414"/>
        <item x="518"/>
        <item m="1" x="720"/>
        <item x="94"/>
        <item x="666"/>
        <item m="1" x="708"/>
        <item x="311"/>
        <item x="415"/>
        <item x="519"/>
        <item m="1" x="721"/>
        <item x="95"/>
        <item x="667"/>
        <item m="1" x="709"/>
        <item x="312"/>
        <item x="416"/>
        <item x="520"/>
        <item m="1" x="722"/>
        <item x="96"/>
        <item x="659"/>
        <item x="217"/>
        <item x="313"/>
        <item x="417"/>
        <item x="521"/>
        <item x="660"/>
        <item x="97"/>
        <item x="668"/>
        <item m="1" x="710"/>
        <item x="314"/>
        <item x="418"/>
        <item x="522"/>
        <item m="1" x="723"/>
        <item x="617"/>
        <item x="669"/>
        <item m="1" x="711"/>
        <item x="315"/>
        <item x="419"/>
        <item x="523"/>
        <item m="1" x="724"/>
        <item x="618"/>
        <item x="670"/>
        <item m="1" x="712"/>
        <item x="316"/>
        <item x="420"/>
        <item x="524"/>
        <item m="1" x="725"/>
        <item x="619"/>
        <item x="671"/>
        <item m="1" x="713"/>
        <item x="317"/>
        <item x="421"/>
        <item x="525"/>
        <item m="1" x="726"/>
        <item x="620"/>
        <item x="672"/>
        <item x="218"/>
        <item x="318"/>
        <item x="422"/>
        <item x="526"/>
        <item m="1" x="727"/>
        <item x="621"/>
        <item x="673"/>
        <item x="219"/>
        <item x="319"/>
        <item x="423"/>
        <item x="527"/>
        <item x="49"/>
        <item x="622"/>
        <item x="674"/>
        <item x="220"/>
        <item x="320"/>
        <item x="424"/>
        <item x="528"/>
        <item x="50"/>
        <item x="623"/>
        <item x="675"/>
        <item x="221"/>
        <item x="321"/>
        <item x="425"/>
        <item x="529"/>
        <item x="51"/>
        <item x="624"/>
        <item x="676"/>
        <item x="222"/>
        <item x="322"/>
        <item x="426"/>
        <item x="530"/>
        <item x="52"/>
        <item x="625"/>
        <item x="677"/>
        <item x="223"/>
        <item x="323"/>
        <item x="427"/>
        <item x="531"/>
        <item x="53"/>
        <item x="626"/>
        <item x="678"/>
        <item x="224"/>
        <item x="324"/>
        <item x="428"/>
        <item x="532"/>
        <item x="54"/>
        <item x="627"/>
        <item x="679"/>
        <item x="225"/>
        <item x="325"/>
        <item x="429"/>
        <item x="533"/>
        <item x="55"/>
        <item x="628"/>
        <item x="680"/>
        <item x="226"/>
        <item x="326"/>
        <item x="430"/>
        <item x="534"/>
        <item x="56"/>
        <item x="629"/>
        <item x="681"/>
        <item x="227"/>
        <item x="327"/>
        <item x="431"/>
        <item x="535"/>
        <item x="57"/>
        <item x="630"/>
        <item x="682"/>
        <item x="228"/>
        <item x="328"/>
        <item x="432"/>
        <item x="536"/>
        <item x="58"/>
        <item x="631"/>
        <item x="683"/>
        <item x="229"/>
        <item x="329"/>
        <item x="433"/>
        <item x="537"/>
        <item x="59"/>
        <item x="632"/>
        <item x="151"/>
        <item x="230"/>
        <item x="330"/>
        <item x="434"/>
        <item x="538"/>
        <item x="60"/>
        <item x="98"/>
        <item x="152"/>
        <item x="231"/>
        <item x="331"/>
        <item x="435"/>
        <item x="539"/>
        <item x="61"/>
        <item x="99"/>
        <item x="153"/>
        <item x="232"/>
        <item x="332"/>
        <item x="436"/>
        <item x="540"/>
        <item x="62"/>
        <item x="100"/>
        <item x="154"/>
        <item x="233"/>
        <item x="333"/>
        <item x="437"/>
        <item x="541"/>
        <item x="63"/>
        <item x="101"/>
        <item x="155"/>
        <item x="234"/>
        <item x="334"/>
        <item x="438"/>
        <item x="542"/>
        <item x="64"/>
        <item x="102"/>
        <item x="156"/>
        <item x="235"/>
        <item x="335"/>
        <item x="439"/>
        <item x="543"/>
        <item x="65"/>
        <item x="103"/>
        <item x="157"/>
        <item x="236"/>
        <item x="336"/>
        <item x="440"/>
        <item x="544"/>
        <item x="66"/>
        <item x="633"/>
        <item x="158"/>
        <item x="237"/>
        <item x="337"/>
        <item x="441"/>
        <item x="545"/>
        <item x="67"/>
        <item x="634"/>
        <item x="159"/>
        <item x="238"/>
        <item x="338"/>
        <item x="442"/>
        <item x="546"/>
        <item x="68"/>
        <item x="635"/>
        <item x="160"/>
        <item x="239"/>
        <item x="339"/>
        <item x="443"/>
        <item x="547"/>
        <item x="69"/>
        <item x="636"/>
        <item x="161"/>
        <item x="240"/>
        <item x="340"/>
        <item x="444"/>
        <item x="548"/>
        <item x="70"/>
        <item x="637"/>
        <item x="162"/>
        <item x="241"/>
        <item x="341"/>
        <item x="445"/>
        <item x="549"/>
        <item x="71"/>
        <item x="638"/>
        <item x="163"/>
        <item x="242"/>
        <item x="342"/>
        <item x="446"/>
        <item x="550"/>
        <item x="72"/>
        <item x="639"/>
        <item x="164"/>
        <item x="243"/>
        <item x="343"/>
        <item x="447"/>
        <item x="551"/>
        <item x="73"/>
        <item x="640"/>
        <item x="165"/>
        <item x="244"/>
        <item x="344"/>
        <item x="448"/>
        <item x="552"/>
        <item x="74"/>
        <item x="641"/>
        <item x="166"/>
        <item x="245"/>
        <item x="345"/>
        <item x="449"/>
        <item x="553"/>
        <item x="75"/>
        <item x="642"/>
        <item x="167"/>
        <item x="246"/>
        <item x="346"/>
        <item x="450"/>
        <item x="554"/>
        <item x="76"/>
        <item x="643"/>
        <item x="168"/>
        <item x="247"/>
        <item x="347"/>
        <item x="451"/>
        <item x="555"/>
        <item x="77"/>
        <item x="644"/>
        <item x="169"/>
        <item x="248"/>
        <item x="348"/>
        <item x="452"/>
        <item x="556"/>
        <item x="78"/>
        <item x="104"/>
        <item x="170"/>
        <item x="249"/>
        <item x="349"/>
        <item x="453"/>
        <item x="557"/>
        <item x="79"/>
        <item x="105"/>
        <item x="171"/>
        <item x="250"/>
        <item x="350"/>
        <item x="454"/>
        <item x="558"/>
        <item x="80"/>
        <item x="106"/>
        <item x="172"/>
        <item x="251"/>
        <item x="351"/>
        <item x="455"/>
        <item x="559"/>
        <item x="81"/>
        <item x="107"/>
        <item x="173"/>
        <item x="252"/>
        <item x="352"/>
        <item x="456"/>
        <item x="560"/>
        <item x="0"/>
        <item x="108"/>
        <item x="174"/>
        <item x="253"/>
        <item x="353"/>
        <item x="457"/>
        <item x="561"/>
        <item x="1"/>
        <item x="109"/>
        <item x="175"/>
        <item x="254"/>
        <item x="354"/>
        <item x="458"/>
        <item x="562"/>
        <item x="2"/>
        <item x="110"/>
        <item x="176"/>
        <item x="255"/>
        <item x="355"/>
        <item x="459"/>
        <item x="563"/>
        <item x="3"/>
        <item x="111"/>
        <item x="177"/>
        <item x="256"/>
        <item x="356"/>
        <item x="460"/>
        <item x="564"/>
        <item x="4"/>
        <item x="645"/>
        <item x="178"/>
        <item x="257"/>
        <item x="357"/>
        <item x="461"/>
        <item x="565"/>
        <item m="1" x="714"/>
        <item x="646"/>
        <item x="179"/>
        <item x="258"/>
        <item x="358"/>
        <item x="462"/>
        <item x="566"/>
        <item m="1" x="715"/>
        <item x="647"/>
        <item x="180"/>
        <item x="259"/>
        <item x="359"/>
        <item x="463"/>
        <item x="567"/>
        <item x="5"/>
        <item x="648"/>
        <item x="181"/>
        <item x="260"/>
        <item x="360"/>
        <item x="464"/>
        <item x="568"/>
        <item x="6"/>
        <item x="649"/>
        <item x="182"/>
        <item x="261"/>
        <item x="361"/>
        <item x="465"/>
        <item x="569"/>
        <item x="7"/>
        <item x="650"/>
        <item x="183"/>
        <item x="262"/>
        <item x="362"/>
        <item x="466"/>
        <item x="570"/>
        <item x="8"/>
        <item x="651"/>
        <item x="184"/>
        <item x="263"/>
        <item x="363"/>
        <item x="467"/>
        <item x="571"/>
        <item x="9"/>
        <item x="652"/>
        <item x="185"/>
        <item x="264"/>
        <item x="364"/>
        <item x="468"/>
        <item x="572"/>
        <item x="10"/>
        <item x="653"/>
        <item x="186"/>
        <item x="265"/>
        <item x="365"/>
        <item x="469"/>
        <item x="573"/>
        <item x="11"/>
        <item x="654"/>
        <item x="187"/>
        <item x="266"/>
        <item x="366"/>
        <item x="470"/>
        <item x="574"/>
        <item x="12"/>
        <item x="655"/>
        <item x="188"/>
        <item x="267"/>
        <item x="367"/>
        <item x="471"/>
        <item x="575"/>
        <item x="13"/>
        <item x="656"/>
        <item x="684"/>
        <item x="268"/>
        <item x="368"/>
        <item x="472"/>
        <item x="576"/>
        <item x="14"/>
        <item x="657"/>
        <item x="685"/>
        <item x="269"/>
        <item x="369"/>
        <item x="473"/>
        <item x="577"/>
        <item x="15"/>
        <item x="658"/>
        <item x="686"/>
        <item x="270"/>
        <item x="370"/>
        <item x="474"/>
        <item x="578"/>
        <item x="16"/>
        <item x="112"/>
        <item x="687"/>
        <item x="271"/>
        <item x="371"/>
        <item x="475"/>
        <item x="579"/>
        <item x="17"/>
        <item x="113"/>
        <item x="688"/>
        <item x="272"/>
        <item x="372"/>
        <item x="476"/>
        <item x="580"/>
        <item x="18"/>
        <item x="114"/>
        <item x="689"/>
        <item x="273"/>
        <item x="373"/>
        <item x="477"/>
        <item x="581"/>
        <item x="19"/>
        <item x="115"/>
        <item x="690"/>
        <item x="274"/>
        <item x="374"/>
        <item x="478"/>
        <item x="582"/>
        <item x="20"/>
        <item x="116"/>
        <item x="691"/>
        <item x="275"/>
        <item x="375"/>
        <item x="479"/>
        <item x="583"/>
        <item x="21"/>
        <item x="117"/>
        <item x="692"/>
        <item x="276"/>
        <item x="376"/>
        <item x="480"/>
        <item x="584"/>
        <item x="22"/>
        <item x="118"/>
        <item x="693"/>
        <item x="277"/>
        <item x="377"/>
        <item x="481"/>
        <item x="585"/>
        <item x="23"/>
        <item x="119"/>
        <item x="694"/>
        <item x="278"/>
        <item x="378"/>
        <item x="482"/>
        <item x="586"/>
        <item x="24"/>
        <item x="120"/>
        <item x="695"/>
        <item x="279"/>
        <item x="379"/>
        <item x="483"/>
        <item x="587"/>
        <item x="25"/>
        <item x="121"/>
        <item x="696"/>
        <item x="280"/>
        <item x="380"/>
        <item x="484"/>
        <item x="588"/>
        <item x="26"/>
        <item x="122"/>
        <item x="697"/>
        <item x="281"/>
        <item x="381"/>
        <item x="485"/>
        <item x="589"/>
        <item x="27"/>
        <item x="123"/>
        <item x="189"/>
        <item x="282"/>
        <item x="382"/>
        <item x="486"/>
        <item x="590"/>
        <item x="28"/>
        <item x="124"/>
        <item x="190"/>
        <item x="283"/>
        <item x="383"/>
        <item x="487"/>
        <item x="591"/>
        <item x="29"/>
        <item x="125"/>
        <item x="191"/>
        <item x="284"/>
        <item x="384"/>
        <item x="488"/>
        <item x="592"/>
        <item x="30"/>
        <item x="126"/>
        <item x="192"/>
        <item x="285"/>
        <item x="385"/>
        <item x="489"/>
        <item x="593"/>
        <item x="31"/>
        <item x="127"/>
        <item x="193"/>
        <item x="286"/>
        <item x="386"/>
        <item x="490"/>
        <item x="594"/>
        <item x="32"/>
        <item x="128"/>
        <item x="194"/>
        <item x="287"/>
        <item x="387"/>
        <item x="491"/>
        <item x="595"/>
        <item x="33"/>
        <item x="129"/>
        <item x="195"/>
        <item x="288"/>
        <item x="388"/>
        <item x="492"/>
        <item x="596"/>
        <item x="34"/>
        <item x="130"/>
        <item x="196"/>
        <item x="289"/>
        <item x="389"/>
        <item x="493"/>
        <item x="597"/>
        <item x="35"/>
        <item x="131"/>
        <item x="197"/>
        <item x="290"/>
        <item x="390"/>
        <item x="494"/>
        <item x="598"/>
        <item x="36"/>
        <item x="132"/>
        <item x="198"/>
        <item x="291"/>
        <item x="391"/>
        <item x="495"/>
        <item x="599"/>
        <item x="37"/>
        <item x="133"/>
        <item x="199"/>
        <item x="292"/>
        <item x="392"/>
        <item x="496"/>
        <item x="600"/>
        <item x="38"/>
        <item x="134"/>
        <item x="200"/>
        <item x="293"/>
        <item x="393"/>
        <item x="497"/>
        <item x="601"/>
        <item x="39"/>
        <item x="135"/>
        <item x="201"/>
        <item x="294"/>
        <item x="394"/>
        <item x="498"/>
        <item x="602"/>
        <item x="40"/>
        <item x="136"/>
        <item x="202"/>
        <item x="295"/>
        <item x="395"/>
        <item x="499"/>
        <item x="603"/>
        <item x="41"/>
        <item x="137"/>
        <item x="203"/>
        <item x="296"/>
        <item x="396"/>
        <item x="500"/>
        <item x="604"/>
        <item x="42"/>
        <item x="138"/>
        <item x="204"/>
        <item x="297"/>
        <item x="397"/>
        <item x="501"/>
        <item x="605"/>
        <item x="43"/>
        <item x="139"/>
        <item x="205"/>
        <item x="298"/>
        <item x="398"/>
        <item x="502"/>
        <item x="606"/>
        <item x="44"/>
        <item x="140"/>
        <item x="206"/>
        <item x="299"/>
        <item x="399"/>
        <item x="503"/>
        <item x="607"/>
        <item x="45"/>
        <item x="141"/>
        <item x="207"/>
        <item x="300"/>
        <item x="400"/>
        <item x="504"/>
        <item x="608"/>
        <item x="46"/>
        <item x="142"/>
        <item x="208"/>
        <item x="301"/>
        <item x="401"/>
        <item x="505"/>
        <item x="609"/>
        <item x="47"/>
        <item x="143"/>
        <item x="209"/>
        <item x="302"/>
        <item x="402"/>
        <item x="506"/>
        <item x="610"/>
        <item x="48"/>
        <item x="144"/>
        <item x="210"/>
        <item x="303"/>
        <item x="403"/>
        <item x="507"/>
        <item x="611"/>
        <item x="82"/>
        <item x="145"/>
        <item x="211"/>
        <item x="304"/>
        <item x="404"/>
        <item x="508"/>
        <item x="612"/>
        <item x="83"/>
        <item x="146"/>
        <item x="212"/>
        <item x="305"/>
        <item x="405"/>
        <item x="509"/>
        <item x="613"/>
        <item x="84"/>
        <item x="147"/>
        <item x="213"/>
        <item x="306"/>
        <item x="406"/>
        <item x="510"/>
        <item x="614"/>
        <item x="85"/>
        <item x="148"/>
        <item x="214"/>
        <item x="307"/>
        <item x="407"/>
        <item x="511"/>
        <item x="615"/>
        <item x="86"/>
        <item x="149"/>
        <item x="215"/>
        <item x="308"/>
        <item x="408"/>
        <item x="512"/>
        <item x="616"/>
        <item x="87"/>
        <item x="150"/>
        <item x="216"/>
        <item t="default"/>
      </items>
    </pivotField>
    <pivotField showAll="0"/>
    <pivotField showAll="0"/>
    <pivotField showAll="0">
      <items count="4">
        <item x="0"/>
        <item x="2"/>
        <item x="1"/>
        <item t="default"/>
      </items>
    </pivotField>
    <pivotField axis="axisRow" showAll="0">
      <items count="13">
        <item x="9"/>
        <item x="11"/>
        <item x="10"/>
        <item x="8"/>
        <item x="5"/>
        <item x="3"/>
        <item x="1"/>
        <item x="6"/>
        <item x="4"/>
        <item x="7"/>
        <item x="0"/>
        <item x="2"/>
        <item t="default"/>
      </items>
    </pivotField>
    <pivotField showAll="0"/>
    <pivotField showAll="0"/>
    <pivotField dataField="1" showAll="0"/>
    <pivotField showAll="0"/>
    <pivotField showAll="0"/>
    <pivotField showAll="0"/>
    <pivotField showAll="0"/>
    <pivotField dataField="1"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13">
    <i>
      <x/>
    </i>
    <i>
      <x v="1"/>
    </i>
    <i>
      <x v="2"/>
    </i>
    <i>
      <x v="3"/>
    </i>
    <i>
      <x v="4"/>
    </i>
    <i>
      <x v="5"/>
    </i>
    <i>
      <x v="6"/>
    </i>
    <i>
      <x v="7"/>
    </i>
    <i>
      <x v="8"/>
    </i>
    <i>
      <x v="9"/>
    </i>
    <i>
      <x v="10"/>
    </i>
    <i>
      <x v="11"/>
    </i>
    <i t="grand">
      <x/>
    </i>
  </rowItems>
  <colFields count="1">
    <field x="-2"/>
  </colFields>
  <colItems count="2">
    <i>
      <x/>
    </i>
    <i i="1">
      <x v="1"/>
    </i>
  </colItems>
  <dataFields count="2">
    <dataField name="Sum of Spend" fld="7" baseField="0" baseItem="0"/>
    <dataField name="Sum of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210CB1-B31E-4ED1-B954-B47C1A44E2D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fieldListSortAscending="1">
  <location ref="B98:C102" firstHeaderRow="1" firstDataRow="1" firstDataCol="1"/>
  <pivotFields count="19">
    <pivotField showAll="0">
      <items count="730">
        <item x="88"/>
        <item m="1" x="728"/>
        <item m="1" x="702"/>
        <item x="309"/>
        <item x="409"/>
        <item x="513"/>
        <item x="89"/>
        <item x="661"/>
        <item m="1" x="703"/>
        <item m="1" x="698"/>
        <item x="410"/>
        <item x="514"/>
        <item m="1" x="716"/>
        <item x="90"/>
        <item x="662"/>
        <item m="1" x="704"/>
        <item m="1" x="699"/>
        <item x="411"/>
        <item x="515"/>
        <item m="1" x="717"/>
        <item x="91"/>
        <item x="663"/>
        <item m="1" x="705"/>
        <item m="1" x="700"/>
        <item x="412"/>
        <item x="516"/>
        <item m="1" x="718"/>
        <item x="92"/>
        <item x="664"/>
        <item m="1" x="706"/>
        <item m="1" x="701"/>
        <item x="413"/>
        <item x="517"/>
        <item m="1" x="719"/>
        <item x="93"/>
        <item x="665"/>
        <item m="1" x="707"/>
        <item x="310"/>
        <item x="414"/>
        <item x="518"/>
        <item m="1" x="720"/>
        <item x="94"/>
        <item x="666"/>
        <item m="1" x="708"/>
        <item x="311"/>
        <item x="415"/>
        <item x="519"/>
        <item m="1" x="721"/>
        <item x="95"/>
        <item x="667"/>
        <item m="1" x="709"/>
        <item x="312"/>
        <item x="416"/>
        <item x="520"/>
        <item m="1" x="722"/>
        <item x="96"/>
        <item x="659"/>
        <item x="217"/>
        <item x="313"/>
        <item x="417"/>
        <item x="521"/>
        <item x="660"/>
        <item x="97"/>
        <item x="668"/>
        <item m="1" x="710"/>
        <item x="314"/>
        <item x="418"/>
        <item x="522"/>
        <item m="1" x="723"/>
        <item x="617"/>
        <item x="669"/>
        <item m="1" x="711"/>
        <item x="315"/>
        <item x="419"/>
        <item x="523"/>
        <item m="1" x="724"/>
        <item x="618"/>
        <item x="670"/>
        <item m="1" x="712"/>
        <item x="316"/>
        <item x="420"/>
        <item x="524"/>
        <item m="1" x="725"/>
        <item x="619"/>
        <item x="671"/>
        <item m="1" x="713"/>
        <item x="317"/>
        <item x="421"/>
        <item x="525"/>
        <item m="1" x="726"/>
        <item x="620"/>
        <item x="672"/>
        <item x="218"/>
        <item x="318"/>
        <item x="422"/>
        <item x="526"/>
        <item m="1" x="727"/>
        <item x="621"/>
        <item x="673"/>
        <item x="219"/>
        <item x="319"/>
        <item x="423"/>
        <item x="527"/>
        <item x="49"/>
        <item x="622"/>
        <item x="674"/>
        <item x="220"/>
        <item x="320"/>
        <item x="424"/>
        <item x="528"/>
        <item x="50"/>
        <item x="623"/>
        <item x="675"/>
        <item x="221"/>
        <item x="321"/>
        <item x="425"/>
        <item x="529"/>
        <item x="51"/>
        <item x="624"/>
        <item x="676"/>
        <item x="222"/>
        <item x="322"/>
        <item x="426"/>
        <item x="530"/>
        <item x="52"/>
        <item x="625"/>
        <item x="677"/>
        <item x="223"/>
        <item x="323"/>
        <item x="427"/>
        <item x="531"/>
        <item x="53"/>
        <item x="626"/>
        <item x="678"/>
        <item x="224"/>
        <item x="324"/>
        <item x="428"/>
        <item x="532"/>
        <item x="54"/>
        <item x="627"/>
        <item x="679"/>
        <item x="225"/>
        <item x="325"/>
        <item x="429"/>
        <item x="533"/>
        <item x="55"/>
        <item x="628"/>
        <item x="680"/>
        <item x="226"/>
        <item x="326"/>
        <item x="430"/>
        <item x="534"/>
        <item x="56"/>
        <item x="629"/>
        <item x="681"/>
        <item x="227"/>
        <item x="327"/>
        <item x="431"/>
        <item x="535"/>
        <item x="57"/>
        <item x="630"/>
        <item x="682"/>
        <item x="228"/>
        <item x="328"/>
        <item x="432"/>
        <item x="536"/>
        <item x="58"/>
        <item x="631"/>
        <item x="683"/>
        <item x="229"/>
        <item x="329"/>
        <item x="433"/>
        <item x="537"/>
        <item x="59"/>
        <item x="632"/>
        <item x="151"/>
        <item x="230"/>
        <item x="330"/>
        <item x="434"/>
        <item x="538"/>
        <item x="60"/>
        <item x="98"/>
        <item x="152"/>
        <item x="231"/>
        <item x="331"/>
        <item x="435"/>
        <item x="539"/>
        <item x="61"/>
        <item x="99"/>
        <item x="153"/>
        <item x="232"/>
        <item x="332"/>
        <item x="436"/>
        <item x="540"/>
        <item x="62"/>
        <item x="100"/>
        <item x="154"/>
        <item x="233"/>
        <item x="333"/>
        <item x="437"/>
        <item x="541"/>
        <item x="63"/>
        <item x="101"/>
        <item x="155"/>
        <item x="234"/>
        <item x="334"/>
        <item x="438"/>
        <item x="542"/>
        <item x="64"/>
        <item x="102"/>
        <item x="156"/>
        <item x="235"/>
        <item x="335"/>
        <item x="439"/>
        <item x="543"/>
        <item x="65"/>
        <item x="103"/>
        <item x="157"/>
        <item x="236"/>
        <item x="336"/>
        <item x="440"/>
        <item x="544"/>
        <item x="66"/>
        <item x="633"/>
        <item x="158"/>
        <item x="237"/>
        <item x="337"/>
        <item x="441"/>
        <item x="545"/>
        <item x="67"/>
        <item x="634"/>
        <item x="159"/>
        <item x="238"/>
        <item x="338"/>
        <item x="442"/>
        <item x="546"/>
        <item x="68"/>
        <item x="635"/>
        <item x="160"/>
        <item x="239"/>
        <item x="339"/>
        <item x="443"/>
        <item x="547"/>
        <item x="69"/>
        <item x="636"/>
        <item x="161"/>
        <item x="240"/>
        <item x="340"/>
        <item x="444"/>
        <item x="548"/>
        <item x="70"/>
        <item x="637"/>
        <item x="162"/>
        <item x="241"/>
        <item x="341"/>
        <item x="445"/>
        <item x="549"/>
        <item x="71"/>
        <item x="638"/>
        <item x="163"/>
        <item x="242"/>
        <item x="342"/>
        <item x="446"/>
        <item x="550"/>
        <item x="72"/>
        <item x="639"/>
        <item x="164"/>
        <item x="243"/>
        <item x="343"/>
        <item x="447"/>
        <item x="551"/>
        <item x="73"/>
        <item x="640"/>
        <item x="165"/>
        <item x="244"/>
        <item x="344"/>
        <item x="448"/>
        <item x="552"/>
        <item x="74"/>
        <item x="641"/>
        <item x="166"/>
        <item x="245"/>
        <item x="345"/>
        <item x="449"/>
        <item x="553"/>
        <item x="75"/>
        <item x="642"/>
        <item x="167"/>
        <item x="246"/>
        <item x="346"/>
        <item x="450"/>
        <item x="554"/>
        <item x="76"/>
        <item x="643"/>
        <item x="168"/>
        <item x="247"/>
        <item x="347"/>
        <item x="451"/>
        <item x="555"/>
        <item x="77"/>
        <item x="644"/>
        <item x="169"/>
        <item x="248"/>
        <item x="348"/>
        <item x="452"/>
        <item x="556"/>
        <item x="78"/>
        <item x="104"/>
        <item x="170"/>
        <item x="249"/>
        <item x="349"/>
        <item x="453"/>
        <item x="557"/>
        <item x="79"/>
        <item x="105"/>
        <item x="171"/>
        <item x="250"/>
        <item x="350"/>
        <item x="454"/>
        <item x="558"/>
        <item x="80"/>
        <item x="106"/>
        <item x="172"/>
        <item x="251"/>
        <item x="351"/>
        <item x="455"/>
        <item x="559"/>
        <item x="81"/>
        <item x="107"/>
        <item x="173"/>
        <item x="252"/>
        <item x="352"/>
        <item x="456"/>
        <item x="560"/>
        <item x="0"/>
        <item x="108"/>
        <item x="174"/>
        <item x="253"/>
        <item x="353"/>
        <item x="457"/>
        <item x="561"/>
        <item x="1"/>
        <item x="109"/>
        <item x="175"/>
        <item x="254"/>
        <item x="354"/>
        <item x="458"/>
        <item x="562"/>
        <item x="2"/>
        <item x="110"/>
        <item x="176"/>
        <item x="255"/>
        <item x="355"/>
        <item x="459"/>
        <item x="563"/>
        <item x="3"/>
        <item x="111"/>
        <item x="177"/>
        <item x="256"/>
        <item x="356"/>
        <item x="460"/>
        <item x="564"/>
        <item x="4"/>
        <item x="645"/>
        <item x="178"/>
        <item x="257"/>
        <item x="357"/>
        <item x="461"/>
        <item x="565"/>
        <item m="1" x="714"/>
        <item x="646"/>
        <item x="179"/>
        <item x="258"/>
        <item x="358"/>
        <item x="462"/>
        <item x="566"/>
        <item m="1" x="715"/>
        <item x="647"/>
        <item x="180"/>
        <item x="259"/>
        <item x="359"/>
        <item x="463"/>
        <item x="567"/>
        <item x="5"/>
        <item x="648"/>
        <item x="181"/>
        <item x="260"/>
        <item x="360"/>
        <item x="464"/>
        <item x="568"/>
        <item x="6"/>
        <item x="649"/>
        <item x="182"/>
        <item x="261"/>
        <item x="361"/>
        <item x="465"/>
        <item x="569"/>
        <item x="7"/>
        <item x="650"/>
        <item x="183"/>
        <item x="262"/>
        <item x="362"/>
        <item x="466"/>
        <item x="570"/>
        <item x="8"/>
        <item x="651"/>
        <item x="184"/>
        <item x="263"/>
        <item x="363"/>
        <item x="467"/>
        <item x="571"/>
        <item x="9"/>
        <item x="652"/>
        <item x="185"/>
        <item x="264"/>
        <item x="364"/>
        <item x="468"/>
        <item x="572"/>
        <item x="10"/>
        <item x="653"/>
        <item x="186"/>
        <item x="265"/>
        <item x="365"/>
        <item x="469"/>
        <item x="573"/>
        <item x="11"/>
        <item x="654"/>
        <item x="187"/>
        <item x="266"/>
        <item x="366"/>
        <item x="470"/>
        <item x="574"/>
        <item x="12"/>
        <item x="655"/>
        <item x="188"/>
        <item x="267"/>
        <item x="367"/>
        <item x="471"/>
        <item x="575"/>
        <item x="13"/>
        <item x="656"/>
        <item x="684"/>
        <item x="268"/>
        <item x="368"/>
        <item x="472"/>
        <item x="576"/>
        <item x="14"/>
        <item x="657"/>
        <item x="685"/>
        <item x="269"/>
        <item x="369"/>
        <item x="473"/>
        <item x="577"/>
        <item x="15"/>
        <item x="658"/>
        <item x="686"/>
        <item x="270"/>
        <item x="370"/>
        <item x="474"/>
        <item x="578"/>
        <item x="16"/>
        <item x="112"/>
        <item x="687"/>
        <item x="271"/>
        <item x="371"/>
        <item x="475"/>
        <item x="579"/>
        <item x="17"/>
        <item x="113"/>
        <item x="688"/>
        <item x="272"/>
        <item x="372"/>
        <item x="476"/>
        <item x="580"/>
        <item x="18"/>
        <item x="114"/>
        <item x="689"/>
        <item x="273"/>
        <item x="373"/>
        <item x="477"/>
        <item x="581"/>
        <item x="19"/>
        <item x="115"/>
        <item x="690"/>
        <item x="274"/>
        <item x="374"/>
        <item x="478"/>
        <item x="582"/>
        <item x="20"/>
        <item x="116"/>
        <item x="691"/>
        <item x="275"/>
        <item x="375"/>
        <item x="479"/>
        <item x="583"/>
        <item x="21"/>
        <item x="117"/>
        <item x="692"/>
        <item x="276"/>
        <item x="376"/>
        <item x="480"/>
        <item x="584"/>
        <item x="22"/>
        <item x="118"/>
        <item x="693"/>
        <item x="277"/>
        <item x="377"/>
        <item x="481"/>
        <item x="585"/>
        <item x="23"/>
        <item x="119"/>
        <item x="694"/>
        <item x="278"/>
        <item x="378"/>
        <item x="482"/>
        <item x="586"/>
        <item x="24"/>
        <item x="120"/>
        <item x="695"/>
        <item x="279"/>
        <item x="379"/>
        <item x="483"/>
        <item x="587"/>
        <item x="25"/>
        <item x="121"/>
        <item x="696"/>
        <item x="280"/>
        <item x="380"/>
        <item x="484"/>
        <item x="588"/>
        <item x="26"/>
        <item x="122"/>
        <item x="697"/>
        <item x="281"/>
        <item x="381"/>
        <item x="485"/>
        <item x="589"/>
        <item x="27"/>
        <item x="123"/>
        <item x="189"/>
        <item x="282"/>
        <item x="382"/>
        <item x="486"/>
        <item x="590"/>
        <item x="28"/>
        <item x="124"/>
        <item x="190"/>
        <item x="283"/>
        <item x="383"/>
        <item x="487"/>
        <item x="591"/>
        <item x="29"/>
        <item x="125"/>
        <item x="191"/>
        <item x="284"/>
        <item x="384"/>
        <item x="488"/>
        <item x="592"/>
        <item x="30"/>
        <item x="126"/>
        <item x="192"/>
        <item x="285"/>
        <item x="385"/>
        <item x="489"/>
        <item x="593"/>
        <item x="31"/>
        <item x="127"/>
        <item x="193"/>
        <item x="286"/>
        <item x="386"/>
        <item x="490"/>
        <item x="594"/>
        <item x="32"/>
        <item x="128"/>
        <item x="194"/>
        <item x="287"/>
        <item x="387"/>
        <item x="491"/>
        <item x="595"/>
        <item x="33"/>
        <item x="129"/>
        <item x="195"/>
        <item x="288"/>
        <item x="388"/>
        <item x="492"/>
        <item x="596"/>
        <item x="34"/>
        <item x="130"/>
        <item x="196"/>
        <item x="289"/>
        <item x="389"/>
        <item x="493"/>
        <item x="597"/>
        <item x="35"/>
        <item x="131"/>
        <item x="197"/>
        <item x="290"/>
        <item x="390"/>
        <item x="494"/>
        <item x="598"/>
        <item x="36"/>
        <item x="132"/>
        <item x="198"/>
        <item x="291"/>
        <item x="391"/>
        <item x="495"/>
        <item x="599"/>
        <item x="37"/>
        <item x="133"/>
        <item x="199"/>
        <item x="292"/>
        <item x="392"/>
        <item x="496"/>
        <item x="600"/>
        <item x="38"/>
        <item x="134"/>
        <item x="200"/>
        <item x="293"/>
        <item x="393"/>
        <item x="497"/>
        <item x="601"/>
        <item x="39"/>
        <item x="135"/>
        <item x="201"/>
        <item x="294"/>
        <item x="394"/>
        <item x="498"/>
        <item x="602"/>
        <item x="40"/>
        <item x="136"/>
        <item x="202"/>
        <item x="295"/>
        <item x="395"/>
        <item x="499"/>
        <item x="603"/>
        <item x="41"/>
        <item x="137"/>
        <item x="203"/>
        <item x="296"/>
        <item x="396"/>
        <item x="500"/>
        <item x="604"/>
        <item x="42"/>
        <item x="138"/>
        <item x="204"/>
        <item x="297"/>
        <item x="397"/>
        <item x="501"/>
        <item x="605"/>
        <item x="43"/>
        <item x="139"/>
        <item x="205"/>
        <item x="298"/>
        <item x="398"/>
        <item x="502"/>
        <item x="606"/>
        <item x="44"/>
        <item x="140"/>
        <item x="206"/>
        <item x="299"/>
        <item x="399"/>
        <item x="503"/>
        <item x="607"/>
        <item x="45"/>
        <item x="141"/>
        <item x="207"/>
        <item x="300"/>
        <item x="400"/>
        <item x="504"/>
        <item x="608"/>
        <item x="46"/>
        <item x="142"/>
        <item x="208"/>
        <item x="301"/>
        <item x="401"/>
        <item x="505"/>
        <item x="609"/>
        <item x="47"/>
        <item x="143"/>
        <item x="209"/>
        <item x="302"/>
        <item x="402"/>
        <item x="506"/>
        <item x="610"/>
        <item x="48"/>
        <item x="144"/>
        <item x="210"/>
        <item x="303"/>
        <item x="403"/>
        <item x="507"/>
        <item x="611"/>
        <item x="82"/>
        <item x="145"/>
        <item x="211"/>
        <item x="304"/>
        <item x="404"/>
        <item x="508"/>
        <item x="612"/>
        <item x="83"/>
        <item x="146"/>
        <item x="212"/>
        <item x="305"/>
        <item x="405"/>
        <item x="509"/>
        <item x="613"/>
        <item x="84"/>
        <item x="147"/>
        <item x="213"/>
        <item x="306"/>
        <item x="406"/>
        <item x="510"/>
        <item x="614"/>
        <item x="85"/>
        <item x="148"/>
        <item x="214"/>
        <item x="307"/>
        <item x="407"/>
        <item x="511"/>
        <item x="615"/>
        <item x="86"/>
        <item x="149"/>
        <item x="215"/>
        <item x="308"/>
        <item x="408"/>
        <item x="512"/>
        <item x="616"/>
        <item x="87"/>
        <item x="150"/>
        <item x="216"/>
        <item t="default"/>
      </items>
    </pivotField>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4">
    <i>
      <x/>
    </i>
    <i>
      <x v="1"/>
    </i>
    <i>
      <x v="2"/>
    </i>
    <i t="grand">
      <x/>
    </i>
  </rowItems>
  <colItems count="1">
    <i/>
  </colItems>
  <dataFields count="1">
    <dataField name="Sum of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821CAB-93C8-4766-A9E6-A15BD547843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B3:H6" firstHeaderRow="0" firstDataRow="1" firstDataCol="1"/>
  <pivotFields count="19">
    <pivotField showAll="0">
      <items count="730">
        <item x="88"/>
        <item m="1" x="728"/>
        <item m="1" x="702"/>
        <item x="309"/>
        <item x="409"/>
        <item x="513"/>
        <item x="89"/>
        <item x="661"/>
        <item m="1" x="703"/>
        <item m="1" x="698"/>
        <item x="410"/>
        <item x="514"/>
        <item m="1" x="716"/>
        <item x="90"/>
        <item x="662"/>
        <item m="1" x="704"/>
        <item m="1" x="699"/>
        <item x="411"/>
        <item x="515"/>
        <item m="1" x="717"/>
        <item x="91"/>
        <item x="663"/>
        <item m="1" x="705"/>
        <item m="1" x="700"/>
        <item x="412"/>
        <item x="516"/>
        <item m="1" x="718"/>
        <item x="92"/>
        <item x="664"/>
        <item m="1" x="706"/>
        <item m="1" x="701"/>
        <item x="413"/>
        <item x="517"/>
        <item m="1" x="719"/>
        <item x="93"/>
        <item x="665"/>
        <item m="1" x="707"/>
        <item x="310"/>
        <item x="414"/>
        <item x="518"/>
        <item m="1" x="720"/>
        <item x="94"/>
        <item x="666"/>
        <item m="1" x="708"/>
        <item x="311"/>
        <item x="415"/>
        <item x="519"/>
        <item m="1" x="721"/>
        <item x="95"/>
        <item x="667"/>
        <item m="1" x="709"/>
        <item x="312"/>
        <item x="416"/>
        <item x="520"/>
        <item m="1" x="722"/>
        <item x="96"/>
        <item x="659"/>
        <item x="217"/>
        <item x="313"/>
        <item x="417"/>
        <item x="521"/>
        <item x="660"/>
        <item x="97"/>
        <item x="668"/>
        <item m="1" x="710"/>
        <item x="314"/>
        <item x="418"/>
        <item x="522"/>
        <item m="1" x="723"/>
        <item x="617"/>
        <item x="669"/>
        <item m="1" x="711"/>
        <item x="315"/>
        <item x="419"/>
        <item x="523"/>
        <item m="1" x="724"/>
        <item x="618"/>
        <item x="670"/>
        <item m="1" x="712"/>
        <item x="316"/>
        <item x="420"/>
        <item x="524"/>
        <item m="1" x="725"/>
        <item x="619"/>
        <item x="671"/>
        <item m="1" x="713"/>
        <item x="317"/>
        <item x="421"/>
        <item x="525"/>
        <item m="1" x="726"/>
        <item x="620"/>
        <item x="672"/>
        <item x="218"/>
        <item x="318"/>
        <item x="422"/>
        <item x="526"/>
        <item m="1" x="727"/>
        <item x="621"/>
        <item x="673"/>
        <item x="219"/>
        <item x="319"/>
        <item x="423"/>
        <item x="527"/>
        <item x="49"/>
        <item x="622"/>
        <item x="674"/>
        <item x="220"/>
        <item x="320"/>
        <item x="424"/>
        <item x="528"/>
        <item x="50"/>
        <item x="623"/>
        <item x="675"/>
        <item x="221"/>
        <item x="321"/>
        <item x="425"/>
        <item x="529"/>
        <item x="51"/>
        <item x="624"/>
        <item x="676"/>
        <item x="222"/>
        <item x="322"/>
        <item x="426"/>
        <item x="530"/>
        <item x="52"/>
        <item x="625"/>
        <item x="677"/>
        <item x="223"/>
        <item x="323"/>
        <item x="427"/>
        <item x="531"/>
        <item x="53"/>
        <item x="626"/>
        <item x="678"/>
        <item x="224"/>
        <item x="324"/>
        <item x="428"/>
        <item x="532"/>
        <item x="54"/>
        <item x="627"/>
        <item x="679"/>
        <item x="225"/>
        <item x="325"/>
        <item x="429"/>
        <item x="533"/>
        <item x="55"/>
        <item x="628"/>
        <item x="680"/>
        <item x="226"/>
        <item x="326"/>
        <item x="430"/>
        <item x="534"/>
        <item x="56"/>
        <item x="629"/>
        <item x="681"/>
        <item x="227"/>
        <item x="327"/>
        <item x="431"/>
        <item x="535"/>
        <item x="57"/>
        <item x="630"/>
        <item x="682"/>
        <item x="228"/>
        <item x="328"/>
        <item x="432"/>
        <item x="536"/>
        <item x="58"/>
        <item x="631"/>
        <item x="683"/>
        <item x="229"/>
        <item x="329"/>
        <item x="433"/>
        <item x="537"/>
        <item x="59"/>
        <item x="632"/>
        <item x="151"/>
        <item x="230"/>
        <item x="330"/>
        <item x="434"/>
        <item x="538"/>
        <item x="60"/>
        <item x="98"/>
        <item x="152"/>
        <item x="231"/>
        <item x="331"/>
        <item x="435"/>
        <item x="539"/>
        <item x="61"/>
        <item x="99"/>
        <item x="153"/>
        <item x="232"/>
        <item x="332"/>
        <item x="436"/>
        <item x="540"/>
        <item x="62"/>
        <item x="100"/>
        <item x="154"/>
        <item x="233"/>
        <item x="333"/>
        <item x="437"/>
        <item x="541"/>
        <item x="63"/>
        <item x="101"/>
        <item x="155"/>
        <item x="234"/>
        <item x="334"/>
        <item x="438"/>
        <item x="542"/>
        <item x="64"/>
        <item x="102"/>
        <item x="156"/>
        <item x="235"/>
        <item x="335"/>
        <item x="439"/>
        <item x="543"/>
        <item x="65"/>
        <item x="103"/>
        <item x="157"/>
        <item x="236"/>
        <item x="336"/>
        <item x="440"/>
        <item x="544"/>
        <item x="66"/>
        <item x="633"/>
        <item x="158"/>
        <item x="237"/>
        <item x="337"/>
        <item x="441"/>
        <item x="545"/>
        <item x="67"/>
        <item x="634"/>
        <item x="159"/>
        <item x="238"/>
        <item x="338"/>
        <item x="442"/>
        <item x="546"/>
        <item x="68"/>
        <item x="635"/>
        <item x="160"/>
        <item x="239"/>
        <item x="339"/>
        <item x="443"/>
        <item x="547"/>
        <item x="69"/>
        <item x="636"/>
        <item x="161"/>
        <item x="240"/>
        <item x="340"/>
        <item x="444"/>
        <item x="548"/>
        <item x="70"/>
        <item x="637"/>
        <item x="162"/>
        <item x="241"/>
        <item x="341"/>
        <item x="445"/>
        <item x="549"/>
        <item x="71"/>
        <item x="638"/>
        <item x="163"/>
        <item x="242"/>
        <item x="342"/>
        <item x="446"/>
        <item x="550"/>
        <item x="72"/>
        <item x="639"/>
        <item x="164"/>
        <item x="243"/>
        <item x="343"/>
        <item x="447"/>
        <item x="551"/>
        <item x="73"/>
        <item x="640"/>
        <item x="165"/>
        <item x="244"/>
        <item x="344"/>
        <item x="448"/>
        <item x="552"/>
        <item x="74"/>
        <item x="641"/>
        <item x="166"/>
        <item x="245"/>
        <item x="345"/>
        <item x="449"/>
        <item x="553"/>
        <item x="75"/>
        <item x="642"/>
        <item x="167"/>
        <item x="246"/>
        <item x="346"/>
        <item x="450"/>
        <item x="554"/>
        <item x="76"/>
        <item x="643"/>
        <item x="168"/>
        <item x="247"/>
        <item x="347"/>
        <item x="451"/>
        <item x="555"/>
        <item x="77"/>
        <item x="644"/>
        <item x="169"/>
        <item x="248"/>
        <item x="348"/>
        <item x="452"/>
        <item x="556"/>
        <item x="78"/>
        <item x="104"/>
        <item x="170"/>
        <item x="249"/>
        <item x="349"/>
        <item x="453"/>
        <item x="557"/>
        <item x="79"/>
        <item x="105"/>
        <item x="171"/>
        <item x="250"/>
        <item x="350"/>
        <item x="454"/>
        <item x="558"/>
        <item x="80"/>
        <item x="106"/>
        <item x="172"/>
        <item x="251"/>
        <item x="351"/>
        <item x="455"/>
        <item x="559"/>
        <item x="81"/>
        <item x="107"/>
        <item x="173"/>
        <item x="252"/>
        <item x="352"/>
        <item x="456"/>
        <item x="560"/>
        <item x="0"/>
        <item x="108"/>
        <item x="174"/>
        <item x="253"/>
        <item x="353"/>
        <item x="457"/>
        <item x="561"/>
        <item x="1"/>
        <item x="109"/>
        <item x="175"/>
        <item x="254"/>
        <item x="354"/>
        <item x="458"/>
        <item x="562"/>
        <item x="2"/>
        <item x="110"/>
        <item x="176"/>
        <item x="255"/>
        <item x="355"/>
        <item x="459"/>
        <item x="563"/>
        <item x="3"/>
        <item x="111"/>
        <item x="177"/>
        <item x="256"/>
        <item x="356"/>
        <item x="460"/>
        <item x="564"/>
        <item x="4"/>
        <item x="645"/>
        <item x="178"/>
        <item x="257"/>
        <item x="357"/>
        <item x="461"/>
        <item x="565"/>
        <item m="1" x="714"/>
        <item x="646"/>
        <item x="179"/>
        <item x="258"/>
        <item x="358"/>
        <item x="462"/>
        <item x="566"/>
        <item m="1" x="715"/>
        <item x="647"/>
        <item x="180"/>
        <item x="259"/>
        <item x="359"/>
        <item x="463"/>
        <item x="567"/>
        <item x="5"/>
        <item x="648"/>
        <item x="181"/>
        <item x="260"/>
        <item x="360"/>
        <item x="464"/>
        <item x="568"/>
        <item x="6"/>
        <item x="649"/>
        <item x="182"/>
        <item x="261"/>
        <item x="361"/>
        <item x="465"/>
        <item x="569"/>
        <item x="7"/>
        <item x="650"/>
        <item x="183"/>
        <item x="262"/>
        <item x="362"/>
        <item x="466"/>
        <item x="570"/>
        <item x="8"/>
        <item x="651"/>
        <item x="184"/>
        <item x="263"/>
        <item x="363"/>
        <item x="467"/>
        <item x="571"/>
        <item x="9"/>
        <item x="652"/>
        <item x="185"/>
        <item x="264"/>
        <item x="364"/>
        <item x="468"/>
        <item x="572"/>
        <item x="10"/>
        <item x="653"/>
        <item x="186"/>
        <item x="265"/>
        <item x="365"/>
        <item x="469"/>
        <item x="573"/>
        <item x="11"/>
        <item x="654"/>
        <item x="187"/>
        <item x="266"/>
        <item x="366"/>
        <item x="470"/>
        <item x="574"/>
        <item x="12"/>
        <item x="655"/>
        <item x="188"/>
        <item x="267"/>
        <item x="367"/>
        <item x="471"/>
        <item x="575"/>
        <item x="13"/>
        <item x="656"/>
        <item x="684"/>
        <item x="268"/>
        <item x="368"/>
        <item x="472"/>
        <item x="576"/>
        <item x="14"/>
        <item x="657"/>
        <item x="685"/>
        <item x="269"/>
        <item x="369"/>
        <item x="473"/>
        <item x="577"/>
        <item x="15"/>
        <item x="658"/>
        <item x="686"/>
        <item x="270"/>
        <item x="370"/>
        <item x="474"/>
        <item x="578"/>
        <item x="16"/>
        <item x="112"/>
        <item x="687"/>
        <item x="271"/>
        <item x="371"/>
        <item x="475"/>
        <item x="579"/>
        <item x="17"/>
        <item x="113"/>
        <item x="688"/>
        <item x="272"/>
        <item x="372"/>
        <item x="476"/>
        <item x="580"/>
        <item x="18"/>
        <item x="114"/>
        <item x="689"/>
        <item x="273"/>
        <item x="373"/>
        <item x="477"/>
        <item x="581"/>
        <item x="19"/>
        <item x="115"/>
        <item x="690"/>
        <item x="274"/>
        <item x="374"/>
        <item x="478"/>
        <item x="582"/>
        <item x="20"/>
        <item x="116"/>
        <item x="691"/>
        <item x="275"/>
        <item x="375"/>
        <item x="479"/>
        <item x="583"/>
        <item x="21"/>
        <item x="117"/>
        <item x="692"/>
        <item x="276"/>
        <item x="376"/>
        <item x="480"/>
        <item x="584"/>
        <item x="22"/>
        <item x="118"/>
        <item x="693"/>
        <item x="277"/>
        <item x="377"/>
        <item x="481"/>
        <item x="585"/>
        <item x="23"/>
        <item x="119"/>
        <item x="694"/>
        <item x="278"/>
        <item x="378"/>
        <item x="482"/>
        <item x="586"/>
        <item x="24"/>
        <item x="120"/>
        <item x="695"/>
        <item x="279"/>
        <item x="379"/>
        <item x="483"/>
        <item x="587"/>
        <item x="25"/>
        <item x="121"/>
        <item x="696"/>
        <item x="280"/>
        <item x="380"/>
        <item x="484"/>
        <item x="588"/>
        <item x="26"/>
        <item x="122"/>
        <item x="697"/>
        <item x="281"/>
        <item x="381"/>
        <item x="485"/>
        <item x="589"/>
        <item x="27"/>
        <item x="123"/>
        <item x="189"/>
        <item x="282"/>
        <item x="382"/>
        <item x="486"/>
        <item x="590"/>
        <item x="28"/>
        <item x="124"/>
        <item x="190"/>
        <item x="283"/>
        <item x="383"/>
        <item x="487"/>
        <item x="591"/>
        <item x="29"/>
        <item x="125"/>
        <item x="191"/>
        <item x="284"/>
        <item x="384"/>
        <item x="488"/>
        <item x="592"/>
        <item x="30"/>
        <item x="126"/>
        <item x="192"/>
        <item x="285"/>
        <item x="385"/>
        <item x="489"/>
        <item x="593"/>
        <item x="31"/>
        <item x="127"/>
        <item x="193"/>
        <item x="286"/>
        <item x="386"/>
        <item x="490"/>
        <item x="594"/>
        <item x="32"/>
        <item x="128"/>
        <item x="194"/>
        <item x="287"/>
        <item x="387"/>
        <item x="491"/>
        <item x="595"/>
        <item x="33"/>
        <item x="129"/>
        <item x="195"/>
        <item x="288"/>
        <item x="388"/>
        <item x="492"/>
        <item x="596"/>
        <item x="34"/>
        <item x="130"/>
        <item x="196"/>
        <item x="289"/>
        <item x="389"/>
        <item x="493"/>
        <item x="597"/>
        <item x="35"/>
        <item x="131"/>
        <item x="197"/>
        <item x="290"/>
        <item x="390"/>
        <item x="494"/>
        <item x="598"/>
        <item x="36"/>
        <item x="132"/>
        <item x="198"/>
        <item x="291"/>
        <item x="391"/>
        <item x="495"/>
        <item x="599"/>
        <item x="37"/>
        <item x="133"/>
        <item x="199"/>
        <item x="292"/>
        <item x="392"/>
        <item x="496"/>
        <item x="600"/>
        <item x="38"/>
        <item x="134"/>
        <item x="200"/>
        <item x="293"/>
        <item x="393"/>
        <item x="497"/>
        <item x="601"/>
        <item x="39"/>
        <item x="135"/>
        <item x="201"/>
        <item x="294"/>
        <item x="394"/>
        <item x="498"/>
        <item x="602"/>
        <item x="40"/>
        <item x="136"/>
        <item x="202"/>
        <item x="295"/>
        <item x="395"/>
        <item x="499"/>
        <item x="603"/>
        <item x="41"/>
        <item x="137"/>
        <item x="203"/>
        <item x="296"/>
        <item x="396"/>
        <item x="500"/>
        <item x="604"/>
        <item x="42"/>
        <item x="138"/>
        <item x="204"/>
        <item x="297"/>
        <item x="397"/>
        <item x="501"/>
        <item x="605"/>
        <item x="43"/>
        <item x="139"/>
        <item x="205"/>
        <item x="298"/>
        <item x="398"/>
        <item x="502"/>
        <item x="606"/>
        <item x="44"/>
        <item x="140"/>
        <item x="206"/>
        <item x="299"/>
        <item x="399"/>
        <item x="503"/>
        <item x="607"/>
        <item x="45"/>
        <item x="141"/>
        <item x="207"/>
        <item x="300"/>
        <item x="400"/>
        <item x="504"/>
        <item x="608"/>
        <item x="46"/>
        <item x="142"/>
        <item x="208"/>
        <item x="301"/>
        <item x="401"/>
        <item x="505"/>
        <item x="609"/>
        <item x="47"/>
        <item x="143"/>
        <item x="209"/>
        <item x="302"/>
        <item x="402"/>
        <item x="506"/>
        <item x="610"/>
        <item x="48"/>
        <item x="144"/>
        <item x="210"/>
        <item x="303"/>
        <item x="403"/>
        <item x="507"/>
        <item x="611"/>
        <item x="82"/>
        <item x="145"/>
        <item x="211"/>
        <item x="304"/>
        <item x="404"/>
        <item x="508"/>
        <item x="612"/>
        <item x="83"/>
        <item x="146"/>
        <item x="212"/>
        <item x="305"/>
        <item x="405"/>
        <item x="509"/>
        <item x="613"/>
        <item x="84"/>
        <item x="147"/>
        <item x="213"/>
        <item x="306"/>
        <item x="406"/>
        <item x="510"/>
        <item x="614"/>
        <item x="85"/>
        <item x="148"/>
        <item x="214"/>
        <item x="307"/>
        <item x="407"/>
        <item x="511"/>
        <item x="615"/>
        <item x="86"/>
        <item x="149"/>
        <item x="215"/>
        <item x="308"/>
        <item x="408"/>
        <item x="512"/>
        <item x="616"/>
        <item x="87"/>
        <item x="150"/>
        <item x="216"/>
        <item t="default"/>
      </items>
    </pivotField>
    <pivotField showAll="0"/>
    <pivotField showAll="0"/>
    <pivotField showAll="0"/>
    <pivotField showAll="0"/>
    <pivotField showAll="0"/>
    <pivotField showAll="0"/>
    <pivotField dataField="1" showAll="0"/>
    <pivotField dataField="1" showAll="0"/>
    <pivotField showAll="0"/>
    <pivotField dataField="1" showAll="0"/>
    <pivotField showAll="0"/>
    <pivotField dataField="1" showAll="0"/>
    <pivotField showAll="0"/>
    <pivotField dataField="1" showAll="0"/>
    <pivotField dataField="1" showAll="0"/>
    <pivotField showAll="0">
      <items count="15">
        <item h="1" x="0"/>
        <item x="1"/>
        <item x="2"/>
        <item x="3"/>
        <item x="4"/>
        <item x="5"/>
        <item x="6"/>
        <item x="7"/>
        <item x="8"/>
        <item x="9"/>
        <item x="10"/>
        <item x="11"/>
        <item x="12"/>
        <item h="1" x="13"/>
        <item t="default"/>
      </items>
    </pivotField>
    <pivotField showAll="0">
      <items count="7">
        <item x="0"/>
        <item x="1"/>
        <item x="2"/>
        <item x="3"/>
        <item x="4"/>
        <item x="5"/>
        <item t="default"/>
      </items>
    </pivotField>
    <pivotField axis="axisRow" showAll="0">
      <items count="6">
        <item x="0"/>
        <item x="1"/>
        <item x="2"/>
        <item x="3"/>
        <item x="4"/>
        <item t="default"/>
      </items>
    </pivotField>
  </pivotFields>
  <rowFields count="1">
    <field x="18"/>
  </rowFields>
  <rowItems count="3">
    <i>
      <x v="1"/>
    </i>
    <i>
      <x v="2"/>
    </i>
    <i t="grand">
      <x/>
    </i>
  </rowItems>
  <colFields count="1">
    <field x="-2"/>
  </colFields>
  <colItems count="6">
    <i>
      <x/>
    </i>
    <i i="1">
      <x v="1"/>
    </i>
    <i i="2">
      <x v="2"/>
    </i>
    <i i="3">
      <x v="3"/>
    </i>
    <i i="4">
      <x v="4"/>
    </i>
    <i i="5">
      <x v="5"/>
    </i>
  </colItems>
  <dataFields count="6">
    <dataField name="Sum of Revenue" fld="12" baseField="0" baseItem="0"/>
    <dataField name="Sum of Spend" fld="7" baseField="0" baseItem="0"/>
    <dataField name="Sum of Impressions" fld="8" baseField="0" baseItem="0"/>
    <dataField name="Sum of Conversions" fld="10" baseField="0" baseItem="0"/>
    <dataField name="Average of CPC" fld="14" subtotal="average" baseField="0" baseItem="4"/>
    <dataField name="Sum of ROI"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F385EE-A87C-4642-959B-E1368A15B83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fieldListSortAscending="1">
  <location ref="B64:C69" firstHeaderRow="1" firstDataRow="1" firstDataCol="1"/>
  <pivotFields count="19">
    <pivotField showAll="0">
      <items count="730">
        <item x="88"/>
        <item m="1" x="728"/>
        <item m="1" x="702"/>
        <item x="309"/>
        <item x="409"/>
        <item x="513"/>
        <item x="89"/>
        <item x="661"/>
        <item m="1" x="703"/>
        <item m="1" x="698"/>
        <item x="410"/>
        <item x="514"/>
        <item m="1" x="716"/>
        <item x="90"/>
        <item x="662"/>
        <item m="1" x="704"/>
        <item m="1" x="699"/>
        <item x="411"/>
        <item x="515"/>
        <item m="1" x="717"/>
        <item x="91"/>
        <item x="663"/>
        <item m="1" x="705"/>
        <item m="1" x="700"/>
        <item x="412"/>
        <item x="516"/>
        <item m="1" x="718"/>
        <item x="92"/>
        <item x="664"/>
        <item m="1" x="706"/>
        <item m="1" x="701"/>
        <item x="413"/>
        <item x="517"/>
        <item m="1" x="719"/>
        <item x="93"/>
        <item x="665"/>
        <item m="1" x="707"/>
        <item x="310"/>
        <item x="414"/>
        <item x="518"/>
        <item m="1" x="720"/>
        <item x="94"/>
        <item x="666"/>
        <item m="1" x="708"/>
        <item x="311"/>
        <item x="415"/>
        <item x="519"/>
        <item m="1" x="721"/>
        <item x="95"/>
        <item x="667"/>
        <item m="1" x="709"/>
        <item x="312"/>
        <item x="416"/>
        <item x="520"/>
        <item m="1" x="722"/>
        <item x="96"/>
        <item x="659"/>
        <item x="217"/>
        <item x="313"/>
        <item x="417"/>
        <item x="521"/>
        <item x="660"/>
        <item x="97"/>
        <item x="668"/>
        <item m="1" x="710"/>
        <item x="314"/>
        <item x="418"/>
        <item x="522"/>
        <item m="1" x="723"/>
        <item x="617"/>
        <item x="669"/>
        <item m="1" x="711"/>
        <item x="315"/>
        <item x="419"/>
        <item x="523"/>
        <item m="1" x="724"/>
        <item x="618"/>
        <item x="670"/>
        <item m="1" x="712"/>
        <item x="316"/>
        <item x="420"/>
        <item x="524"/>
        <item m="1" x="725"/>
        <item x="619"/>
        <item x="671"/>
        <item m="1" x="713"/>
        <item x="317"/>
        <item x="421"/>
        <item x="525"/>
        <item m="1" x="726"/>
        <item x="620"/>
        <item x="672"/>
        <item x="218"/>
        <item x="318"/>
        <item x="422"/>
        <item x="526"/>
        <item m="1" x="727"/>
        <item x="621"/>
        <item x="673"/>
        <item x="219"/>
        <item x="319"/>
        <item x="423"/>
        <item x="527"/>
        <item x="49"/>
        <item x="622"/>
        <item x="674"/>
        <item x="220"/>
        <item x="320"/>
        <item x="424"/>
        <item x="528"/>
        <item x="50"/>
        <item x="623"/>
        <item x="675"/>
        <item x="221"/>
        <item x="321"/>
        <item x="425"/>
        <item x="529"/>
        <item x="51"/>
        <item x="624"/>
        <item x="676"/>
        <item x="222"/>
        <item x="322"/>
        <item x="426"/>
        <item x="530"/>
        <item x="52"/>
        <item x="625"/>
        <item x="677"/>
        <item x="223"/>
        <item x="323"/>
        <item x="427"/>
        <item x="531"/>
        <item x="53"/>
        <item x="626"/>
        <item x="678"/>
        <item x="224"/>
        <item x="324"/>
        <item x="428"/>
        <item x="532"/>
        <item x="54"/>
        <item x="627"/>
        <item x="679"/>
        <item x="225"/>
        <item x="325"/>
        <item x="429"/>
        <item x="533"/>
        <item x="55"/>
        <item x="628"/>
        <item x="680"/>
        <item x="226"/>
        <item x="326"/>
        <item x="430"/>
        <item x="534"/>
        <item x="56"/>
        <item x="629"/>
        <item x="681"/>
        <item x="227"/>
        <item x="327"/>
        <item x="431"/>
        <item x="535"/>
        <item x="57"/>
        <item x="630"/>
        <item x="682"/>
        <item x="228"/>
        <item x="328"/>
        <item x="432"/>
        <item x="536"/>
        <item x="58"/>
        <item x="631"/>
        <item x="683"/>
        <item x="229"/>
        <item x="329"/>
        <item x="433"/>
        <item x="537"/>
        <item x="59"/>
        <item x="632"/>
        <item x="151"/>
        <item x="230"/>
        <item x="330"/>
        <item x="434"/>
        <item x="538"/>
        <item x="60"/>
        <item x="98"/>
        <item x="152"/>
        <item x="231"/>
        <item x="331"/>
        <item x="435"/>
        <item x="539"/>
        <item x="61"/>
        <item x="99"/>
        <item x="153"/>
        <item x="232"/>
        <item x="332"/>
        <item x="436"/>
        <item x="540"/>
        <item x="62"/>
        <item x="100"/>
        <item x="154"/>
        <item x="233"/>
        <item x="333"/>
        <item x="437"/>
        <item x="541"/>
        <item x="63"/>
        <item x="101"/>
        <item x="155"/>
        <item x="234"/>
        <item x="334"/>
        <item x="438"/>
        <item x="542"/>
        <item x="64"/>
        <item x="102"/>
        <item x="156"/>
        <item x="235"/>
        <item x="335"/>
        <item x="439"/>
        <item x="543"/>
        <item x="65"/>
        <item x="103"/>
        <item x="157"/>
        <item x="236"/>
        <item x="336"/>
        <item x="440"/>
        <item x="544"/>
        <item x="66"/>
        <item x="633"/>
        <item x="158"/>
        <item x="237"/>
        <item x="337"/>
        <item x="441"/>
        <item x="545"/>
        <item x="67"/>
        <item x="634"/>
        <item x="159"/>
        <item x="238"/>
        <item x="338"/>
        <item x="442"/>
        <item x="546"/>
        <item x="68"/>
        <item x="635"/>
        <item x="160"/>
        <item x="239"/>
        <item x="339"/>
        <item x="443"/>
        <item x="547"/>
        <item x="69"/>
        <item x="636"/>
        <item x="161"/>
        <item x="240"/>
        <item x="340"/>
        <item x="444"/>
        <item x="548"/>
        <item x="70"/>
        <item x="637"/>
        <item x="162"/>
        <item x="241"/>
        <item x="341"/>
        <item x="445"/>
        <item x="549"/>
        <item x="71"/>
        <item x="638"/>
        <item x="163"/>
        <item x="242"/>
        <item x="342"/>
        <item x="446"/>
        <item x="550"/>
        <item x="72"/>
        <item x="639"/>
        <item x="164"/>
        <item x="243"/>
        <item x="343"/>
        <item x="447"/>
        <item x="551"/>
        <item x="73"/>
        <item x="640"/>
        <item x="165"/>
        <item x="244"/>
        <item x="344"/>
        <item x="448"/>
        <item x="552"/>
        <item x="74"/>
        <item x="641"/>
        <item x="166"/>
        <item x="245"/>
        <item x="345"/>
        <item x="449"/>
        <item x="553"/>
        <item x="75"/>
        <item x="642"/>
        <item x="167"/>
        <item x="246"/>
        <item x="346"/>
        <item x="450"/>
        <item x="554"/>
        <item x="76"/>
        <item x="643"/>
        <item x="168"/>
        <item x="247"/>
        <item x="347"/>
        <item x="451"/>
        <item x="555"/>
        <item x="77"/>
        <item x="644"/>
        <item x="169"/>
        <item x="248"/>
        <item x="348"/>
        <item x="452"/>
        <item x="556"/>
        <item x="78"/>
        <item x="104"/>
        <item x="170"/>
        <item x="249"/>
        <item x="349"/>
        <item x="453"/>
        <item x="557"/>
        <item x="79"/>
        <item x="105"/>
        <item x="171"/>
        <item x="250"/>
        <item x="350"/>
        <item x="454"/>
        <item x="558"/>
        <item x="80"/>
        <item x="106"/>
        <item x="172"/>
        <item x="251"/>
        <item x="351"/>
        <item x="455"/>
        <item x="559"/>
        <item x="81"/>
        <item x="107"/>
        <item x="173"/>
        <item x="252"/>
        <item x="352"/>
        <item x="456"/>
        <item x="560"/>
        <item x="0"/>
        <item x="108"/>
        <item x="174"/>
        <item x="253"/>
        <item x="353"/>
        <item x="457"/>
        <item x="561"/>
        <item x="1"/>
        <item x="109"/>
        <item x="175"/>
        <item x="254"/>
        <item x="354"/>
        <item x="458"/>
        <item x="562"/>
        <item x="2"/>
        <item x="110"/>
        <item x="176"/>
        <item x="255"/>
        <item x="355"/>
        <item x="459"/>
        <item x="563"/>
        <item x="3"/>
        <item x="111"/>
        <item x="177"/>
        <item x="256"/>
        <item x="356"/>
        <item x="460"/>
        <item x="564"/>
        <item x="4"/>
        <item x="645"/>
        <item x="178"/>
        <item x="257"/>
        <item x="357"/>
        <item x="461"/>
        <item x="565"/>
        <item m="1" x="714"/>
        <item x="646"/>
        <item x="179"/>
        <item x="258"/>
        <item x="358"/>
        <item x="462"/>
        <item x="566"/>
        <item m="1" x="715"/>
        <item x="647"/>
        <item x="180"/>
        <item x="259"/>
        <item x="359"/>
        <item x="463"/>
        <item x="567"/>
        <item x="5"/>
        <item x="648"/>
        <item x="181"/>
        <item x="260"/>
        <item x="360"/>
        <item x="464"/>
        <item x="568"/>
        <item x="6"/>
        <item x="649"/>
        <item x="182"/>
        <item x="261"/>
        <item x="361"/>
        <item x="465"/>
        <item x="569"/>
        <item x="7"/>
        <item x="650"/>
        <item x="183"/>
        <item x="262"/>
        <item x="362"/>
        <item x="466"/>
        <item x="570"/>
        <item x="8"/>
        <item x="651"/>
        <item x="184"/>
        <item x="263"/>
        <item x="363"/>
        <item x="467"/>
        <item x="571"/>
        <item x="9"/>
        <item x="652"/>
        <item x="185"/>
        <item x="264"/>
        <item x="364"/>
        <item x="468"/>
        <item x="572"/>
        <item x="10"/>
        <item x="653"/>
        <item x="186"/>
        <item x="265"/>
        <item x="365"/>
        <item x="469"/>
        <item x="573"/>
        <item x="11"/>
        <item x="654"/>
        <item x="187"/>
        <item x="266"/>
        <item x="366"/>
        <item x="470"/>
        <item x="574"/>
        <item x="12"/>
        <item x="655"/>
        <item x="188"/>
        <item x="267"/>
        <item x="367"/>
        <item x="471"/>
        <item x="575"/>
        <item x="13"/>
        <item x="656"/>
        <item x="684"/>
        <item x="268"/>
        <item x="368"/>
        <item x="472"/>
        <item x="576"/>
        <item x="14"/>
        <item x="657"/>
        <item x="685"/>
        <item x="269"/>
        <item x="369"/>
        <item x="473"/>
        <item x="577"/>
        <item x="15"/>
        <item x="658"/>
        <item x="686"/>
        <item x="270"/>
        <item x="370"/>
        <item x="474"/>
        <item x="578"/>
        <item x="16"/>
        <item x="112"/>
        <item x="687"/>
        <item x="271"/>
        <item x="371"/>
        <item x="475"/>
        <item x="579"/>
        <item x="17"/>
        <item x="113"/>
        <item x="688"/>
        <item x="272"/>
        <item x="372"/>
        <item x="476"/>
        <item x="580"/>
        <item x="18"/>
        <item x="114"/>
        <item x="689"/>
        <item x="273"/>
        <item x="373"/>
        <item x="477"/>
        <item x="581"/>
        <item x="19"/>
        <item x="115"/>
        <item x="690"/>
        <item x="274"/>
        <item x="374"/>
        <item x="478"/>
        <item x="582"/>
        <item x="20"/>
        <item x="116"/>
        <item x="691"/>
        <item x="275"/>
        <item x="375"/>
        <item x="479"/>
        <item x="583"/>
        <item x="21"/>
        <item x="117"/>
        <item x="692"/>
        <item x="276"/>
        <item x="376"/>
        <item x="480"/>
        <item x="584"/>
        <item x="22"/>
        <item x="118"/>
        <item x="693"/>
        <item x="277"/>
        <item x="377"/>
        <item x="481"/>
        <item x="585"/>
        <item x="23"/>
        <item x="119"/>
        <item x="694"/>
        <item x="278"/>
        <item x="378"/>
        <item x="482"/>
        <item x="586"/>
        <item x="24"/>
        <item x="120"/>
        <item x="695"/>
        <item x="279"/>
        <item x="379"/>
        <item x="483"/>
        <item x="587"/>
        <item x="25"/>
        <item x="121"/>
        <item x="696"/>
        <item x="280"/>
        <item x="380"/>
        <item x="484"/>
        <item x="588"/>
        <item x="26"/>
        <item x="122"/>
        <item x="697"/>
        <item x="281"/>
        <item x="381"/>
        <item x="485"/>
        <item x="589"/>
        <item x="27"/>
        <item x="123"/>
        <item x="189"/>
        <item x="282"/>
        <item x="382"/>
        <item x="486"/>
        <item x="590"/>
        <item x="28"/>
        <item x="124"/>
        <item x="190"/>
        <item x="283"/>
        <item x="383"/>
        <item x="487"/>
        <item x="591"/>
        <item x="29"/>
        <item x="125"/>
        <item x="191"/>
        <item x="284"/>
        <item x="384"/>
        <item x="488"/>
        <item x="592"/>
        <item x="30"/>
        <item x="126"/>
        <item x="192"/>
        <item x="285"/>
        <item x="385"/>
        <item x="489"/>
        <item x="593"/>
        <item x="31"/>
        <item x="127"/>
        <item x="193"/>
        <item x="286"/>
        <item x="386"/>
        <item x="490"/>
        <item x="594"/>
        <item x="32"/>
        <item x="128"/>
        <item x="194"/>
        <item x="287"/>
        <item x="387"/>
        <item x="491"/>
        <item x="595"/>
        <item x="33"/>
        <item x="129"/>
        <item x="195"/>
        <item x="288"/>
        <item x="388"/>
        <item x="492"/>
        <item x="596"/>
        <item x="34"/>
        <item x="130"/>
        <item x="196"/>
        <item x="289"/>
        <item x="389"/>
        <item x="493"/>
        <item x="597"/>
        <item x="35"/>
        <item x="131"/>
        <item x="197"/>
        <item x="290"/>
        <item x="390"/>
        <item x="494"/>
        <item x="598"/>
        <item x="36"/>
        <item x="132"/>
        <item x="198"/>
        <item x="291"/>
        <item x="391"/>
        <item x="495"/>
        <item x="599"/>
        <item x="37"/>
        <item x="133"/>
        <item x="199"/>
        <item x="292"/>
        <item x="392"/>
        <item x="496"/>
        <item x="600"/>
        <item x="38"/>
        <item x="134"/>
        <item x="200"/>
        <item x="293"/>
        <item x="393"/>
        <item x="497"/>
        <item x="601"/>
        <item x="39"/>
        <item x="135"/>
        <item x="201"/>
        <item x="294"/>
        <item x="394"/>
        <item x="498"/>
        <item x="602"/>
        <item x="40"/>
        <item x="136"/>
        <item x="202"/>
        <item x="295"/>
        <item x="395"/>
        <item x="499"/>
        <item x="603"/>
        <item x="41"/>
        <item x="137"/>
        <item x="203"/>
        <item x="296"/>
        <item x="396"/>
        <item x="500"/>
        <item x="604"/>
        <item x="42"/>
        <item x="138"/>
        <item x="204"/>
        <item x="297"/>
        <item x="397"/>
        <item x="501"/>
        <item x="605"/>
        <item x="43"/>
        <item x="139"/>
        <item x="205"/>
        <item x="298"/>
        <item x="398"/>
        <item x="502"/>
        <item x="606"/>
        <item x="44"/>
        <item x="140"/>
        <item x="206"/>
        <item x="299"/>
        <item x="399"/>
        <item x="503"/>
        <item x="607"/>
        <item x="45"/>
        <item x="141"/>
        <item x="207"/>
        <item x="300"/>
        <item x="400"/>
        <item x="504"/>
        <item x="608"/>
        <item x="46"/>
        <item x="142"/>
        <item x="208"/>
        <item x="301"/>
        <item x="401"/>
        <item x="505"/>
        <item x="609"/>
        <item x="47"/>
        <item x="143"/>
        <item x="209"/>
        <item x="302"/>
        <item x="402"/>
        <item x="506"/>
        <item x="610"/>
        <item x="48"/>
        <item x="144"/>
        <item x="210"/>
        <item x="303"/>
        <item x="403"/>
        <item x="507"/>
        <item x="611"/>
        <item x="82"/>
        <item x="145"/>
        <item x="211"/>
        <item x="304"/>
        <item x="404"/>
        <item x="508"/>
        <item x="612"/>
        <item x="83"/>
        <item x="146"/>
        <item x="212"/>
        <item x="305"/>
        <item x="405"/>
        <item x="509"/>
        <item x="613"/>
        <item x="84"/>
        <item x="147"/>
        <item x="213"/>
        <item x="306"/>
        <item x="406"/>
        <item x="510"/>
        <item x="614"/>
        <item x="85"/>
        <item x="148"/>
        <item x="214"/>
        <item x="307"/>
        <item x="407"/>
        <item x="511"/>
        <item x="615"/>
        <item x="86"/>
        <item x="149"/>
        <item x="215"/>
        <item x="308"/>
        <item x="408"/>
        <item x="512"/>
        <item x="616"/>
        <item x="87"/>
        <item x="150"/>
        <item x="216"/>
        <item t="default"/>
      </items>
    </pivotField>
    <pivotField showAll="0"/>
    <pivotField showAll="0"/>
    <pivotField showAll="0"/>
    <pivotField showAll="0"/>
    <pivotField axis="axisRow" showAll="0" sortType="a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5">
    <i>
      <x/>
    </i>
    <i>
      <x v="3"/>
    </i>
    <i>
      <x v="2"/>
    </i>
    <i>
      <x v="1"/>
    </i>
    <i t="grand">
      <x/>
    </i>
  </rowItems>
  <colItems count="1">
    <i/>
  </colItems>
  <dataFields count="1">
    <dataField name="Sum of Conversion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FE492F-C71F-4787-AF49-7E37EF147A8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fieldListSortAscending="1">
  <location ref="B55:C61" firstHeaderRow="1" firstDataRow="1" firstDataCol="1"/>
  <pivotFields count="19">
    <pivotField showAll="0">
      <items count="730">
        <item x="88"/>
        <item m="1" x="728"/>
        <item m="1" x="702"/>
        <item x="309"/>
        <item x="409"/>
        <item x="513"/>
        <item x="89"/>
        <item x="661"/>
        <item m="1" x="703"/>
        <item m="1" x="698"/>
        <item x="410"/>
        <item x="514"/>
        <item m="1" x="716"/>
        <item x="90"/>
        <item x="662"/>
        <item m="1" x="704"/>
        <item m="1" x="699"/>
        <item x="411"/>
        <item x="515"/>
        <item m="1" x="717"/>
        <item x="91"/>
        <item x="663"/>
        <item m="1" x="705"/>
        <item m="1" x="700"/>
        <item x="412"/>
        <item x="516"/>
        <item m="1" x="718"/>
        <item x="92"/>
        <item x="664"/>
        <item m="1" x="706"/>
        <item m="1" x="701"/>
        <item x="413"/>
        <item x="517"/>
        <item m="1" x="719"/>
        <item x="93"/>
        <item x="665"/>
        <item m="1" x="707"/>
        <item x="310"/>
        <item x="414"/>
        <item x="518"/>
        <item m="1" x="720"/>
        <item x="94"/>
        <item x="666"/>
        <item m="1" x="708"/>
        <item x="311"/>
        <item x="415"/>
        <item x="519"/>
        <item m="1" x="721"/>
        <item x="95"/>
        <item x="667"/>
        <item m="1" x="709"/>
        <item x="312"/>
        <item x="416"/>
        <item x="520"/>
        <item m="1" x="722"/>
        <item x="96"/>
        <item x="659"/>
        <item x="217"/>
        <item x="313"/>
        <item x="417"/>
        <item x="521"/>
        <item x="660"/>
        <item x="97"/>
        <item x="668"/>
        <item m="1" x="710"/>
        <item x="314"/>
        <item x="418"/>
        <item x="522"/>
        <item m="1" x="723"/>
        <item x="617"/>
        <item x="669"/>
        <item m="1" x="711"/>
        <item x="315"/>
        <item x="419"/>
        <item x="523"/>
        <item m="1" x="724"/>
        <item x="618"/>
        <item x="670"/>
        <item m="1" x="712"/>
        <item x="316"/>
        <item x="420"/>
        <item x="524"/>
        <item m="1" x="725"/>
        <item x="619"/>
        <item x="671"/>
        <item m="1" x="713"/>
        <item x="317"/>
        <item x="421"/>
        <item x="525"/>
        <item m="1" x="726"/>
        <item x="620"/>
        <item x="672"/>
        <item x="218"/>
        <item x="318"/>
        <item x="422"/>
        <item x="526"/>
        <item m="1" x="727"/>
        <item x="621"/>
        <item x="673"/>
        <item x="219"/>
        <item x="319"/>
        <item x="423"/>
        <item x="527"/>
        <item x="49"/>
        <item x="622"/>
        <item x="674"/>
        <item x="220"/>
        <item x="320"/>
        <item x="424"/>
        <item x="528"/>
        <item x="50"/>
        <item x="623"/>
        <item x="675"/>
        <item x="221"/>
        <item x="321"/>
        <item x="425"/>
        <item x="529"/>
        <item x="51"/>
        <item x="624"/>
        <item x="676"/>
        <item x="222"/>
        <item x="322"/>
        <item x="426"/>
        <item x="530"/>
        <item x="52"/>
        <item x="625"/>
        <item x="677"/>
        <item x="223"/>
        <item x="323"/>
        <item x="427"/>
        <item x="531"/>
        <item x="53"/>
        <item x="626"/>
        <item x="678"/>
        <item x="224"/>
        <item x="324"/>
        <item x="428"/>
        <item x="532"/>
        <item x="54"/>
        <item x="627"/>
        <item x="679"/>
        <item x="225"/>
        <item x="325"/>
        <item x="429"/>
        <item x="533"/>
        <item x="55"/>
        <item x="628"/>
        <item x="680"/>
        <item x="226"/>
        <item x="326"/>
        <item x="430"/>
        <item x="534"/>
        <item x="56"/>
        <item x="629"/>
        <item x="681"/>
        <item x="227"/>
        <item x="327"/>
        <item x="431"/>
        <item x="535"/>
        <item x="57"/>
        <item x="630"/>
        <item x="682"/>
        <item x="228"/>
        <item x="328"/>
        <item x="432"/>
        <item x="536"/>
        <item x="58"/>
        <item x="631"/>
        <item x="683"/>
        <item x="229"/>
        <item x="329"/>
        <item x="433"/>
        <item x="537"/>
        <item x="59"/>
        <item x="632"/>
        <item x="151"/>
        <item x="230"/>
        <item x="330"/>
        <item x="434"/>
        <item x="538"/>
        <item x="60"/>
        <item x="98"/>
        <item x="152"/>
        <item x="231"/>
        <item x="331"/>
        <item x="435"/>
        <item x="539"/>
        <item x="61"/>
        <item x="99"/>
        <item x="153"/>
        <item x="232"/>
        <item x="332"/>
        <item x="436"/>
        <item x="540"/>
        <item x="62"/>
        <item x="100"/>
        <item x="154"/>
        <item x="233"/>
        <item x="333"/>
        <item x="437"/>
        <item x="541"/>
        <item x="63"/>
        <item x="101"/>
        <item x="155"/>
        <item x="234"/>
        <item x="334"/>
        <item x="438"/>
        <item x="542"/>
        <item x="64"/>
        <item x="102"/>
        <item x="156"/>
        <item x="235"/>
        <item x="335"/>
        <item x="439"/>
        <item x="543"/>
        <item x="65"/>
        <item x="103"/>
        <item x="157"/>
        <item x="236"/>
        <item x="336"/>
        <item x="440"/>
        <item x="544"/>
        <item x="66"/>
        <item x="633"/>
        <item x="158"/>
        <item x="237"/>
        <item x="337"/>
        <item x="441"/>
        <item x="545"/>
        <item x="67"/>
        <item x="634"/>
        <item x="159"/>
        <item x="238"/>
        <item x="338"/>
        <item x="442"/>
        <item x="546"/>
        <item x="68"/>
        <item x="635"/>
        <item x="160"/>
        <item x="239"/>
        <item x="339"/>
        <item x="443"/>
        <item x="547"/>
        <item x="69"/>
        <item x="636"/>
        <item x="161"/>
        <item x="240"/>
        <item x="340"/>
        <item x="444"/>
        <item x="548"/>
        <item x="70"/>
        <item x="637"/>
        <item x="162"/>
        <item x="241"/>
        <item x="341"/>
        <item x="445"/>
        <item x="549"/>
        <item x="71"/>
        <item x="638"/>
        <item x="163"/>
        <item x="242"/>
        <item x="342"/>
        <item x="446"/>
        <item x="550"/>
        <item x="72"/>
        <item x="639"/>
        <item x="164"/>
        <item x="243"/>
        <item x="343"/>
        <item x="447"/>
        <item x="551"/>
        <item x="73"/>
        <item x="640"/>
        <item x="165"/>
        <item x="244"/>
        <item x="344"/>
        <item x="448"/>
        <item x="552"/>
        <item x="74"/>
        <item x="641"/>
        <item x="166"/>
        <item x="245"/>
        <item x="345"/>
        <item x="449"/>
        <item x="553"/>
        <item x="75"/>
        <item x="642"/>
        <item x="167"/>
        <item x="246"/>
        <item x="346"/>
        <item x="450"/>
        <item x="554"/>
        <item x="76"/>
        <item x="643"/>
        <item x="168"/>
        <item x="247"/>
        <item x="347"/>
        <item x="451"/>
        <item x="555"/>
        <item x="77"/>
        <item x="644"/>
        <item x="169"/>
        <item x="248"/>
        <item x="348"/>
        <item x="452"/>
        <item x="556"/>
        <item x="78"/>
        <item x="104"/>
        <item x="170"/>
        <item x="249"/>
        <item x="349"/>
        <item x="453"/>
        <item x="557"/>
        <item x="79"/>
        <item x="105"/>
        <item x="171"/>
        <item x="250"/>
        <item x="350"/>
        <item x="454"/>
        <item x="558"/>
        <item x="80"/>
        <item x="106"/>
        <item x="172"/>
        <item x="251"/>
        <item x="351"/>
        <item x="455"/>
        <item x="559"/>
        <item x="81"/>
        <item x="107"/>
        <item x="173"/>
        <item x="252"/>
        <item x="352"/>
        <item x="456"/>
        <item x="560"/>
        <item x="0"/>
        <item x="108"/>
        <item x="174"/>
        <item x="253"/>
        <item x="353"/>
        <item x="457"/>
        <item x="561"/>
        <item x="1"/>
        <item x="109"/>
        <item x="175"/>
        <item x="254"/>
        <item x="354"/>
        <item x="458"/>
        <item x="562"/>
        <item x="2"/>
        <item x="110"/>
        <item x="176"/>
        <item x="255"/>
        <item x="355"/>
        <item x="459"/>
        <item x="563"/>
        <item x="3"/>
        <item x="111"/>
        <item x="177"/>
        <item x="256"/>
        <item x="356"/>
        <item x="460"/>
        <item x="564"/>
        <item x="4"/>
        <item x="645"/>
        <item x="178"/>
        <item x="257"/>
        <item x="357"/>
        <item x="461"/>
        <item x="565"/>
        <item m="1" x="714"/>
        <item x="646"/>
        <item x="179"/>
        <item x="258"/>
        <item x="358"/>
        <item x="462"/>
        <item x="566"/>
        <item m="1" x="715"/>
        <item x="647"/>
        <item x="180"/>
        <item x="259"/>
        <item x="359"/>
        <item x="463"/>
        <item x="567"/>
        <item x="5"/>
        <item x="648"/>
        <item x="181"/>
        <item x="260"/>
        <item x="360"/>
        <item x="464"/>
        <item x="568"/>
        <item x="6"/>
        <item x="649"/>
        <item x="182"/>
        <item x="261"/>
        <item x="361"/>
        <item x="465"/>
        <item x="569"/>
        <item x="7"/>
        <item x="650"/>
        <item x="183"/>
        <item x="262"/>
        <item x="362"/>
        <item x="466"/>
        <item x="570"/>
        <item x="8"/>
        <item x="651"/>
        <item x="184"/>
        <item x="263"/>
        <item x="363"/>
        <item x="467"/>
        <item x="571"/>
        <item x="9"/>
        <item x="652"/>
        <item x="185"/>
        <item x="264"/>
        <item x="364"/>
        <item x="468"/>
        <item x="572"/>
        <item x="10"/>
        <item x="653"/>
        <item x="186"/>
        <item x="265"/>
        <item x="365"/>
        <item x="469"/>
        <item x="573"/>
        <item x="11"/>
        <item x="654"/>
        <item x="187"/>
        <item x="266"/>
        <item x="366"/>
        <item x="470"/>
        <item x="574"/>
        <item x="12"/>
        <item x="655"/>
        <item x="188"/>
        <item x="267"/>
        <item x="367"/>
        <item x="471"/>
        <item x="575"/>
        <item x="13"/>
        <item x="656"/>
        <item x="684"/>
        <item x="268"/>
        <item x="368"/>
        <item x="472"/>
        <item x="576"/>
        <item x="14"/>
        <item x="657"/>
        <item x="685"/>
        <item x="269"/>
        <item x="369"/>
        <item x="473"/>
        <item x="577"/>
        <item x="15"/>
        <item x="658"/>
        <item x="686"/>
        <item x="270"/>
        <item x="370"/>
        <item x="474"/>
        <item x="578"/>
        <item x="16"/>
        <item x="112"/>
        <item x="687"/>
        <item x="271"/>
        <item x="371"/>
        <item x="475"/>
        <item x="579"/>
        <item x="17"/>
        <item x="113"/>
        <item x="688"/>
        <item x="272"/>
        <item x="372"/>
        <item x="476"/>
        <item x="580"/>
        <item x="18"/>
        <item x="114"/>
        <item x="689"/>
        <item x="273"/>
        <item x="373"/>
        <item x="477"/>
        <item x="581"/>
        <item x="19"/>
        <item x="115"/>
        <item x="690"/>
        <item x="274"/>
        <item x="374"/>
        <item x="478"/>
        <item x="582"/>
        <item x="20"/>
        <item x="116"/>
        <item x="691"/>
        <item x="275"/>
        <item x="375"/>
        <item x="479"/>
        <item x="583"/>
        <item x="21"/>
        <item x="117"/>
        <item x="692"/>
        <item x="276"/>
        <item x="376"/>
        <item x="480"/>
        <item x="584"/>
        <item x="22"/>
        <item x="118"/>
        <item x="693"/>
        <item x="277"/>
        <item x="377"/>
        <item x="481"/>
        <item x="585"/>
        <item x="23"/>
        <item x="119"/>
        <item x="694"/>
        <item x="278"/>
        <item x="378"/>
        <item x="482"/>
        <item x="586"/>
        <item x="24"/>
        <item x="120"/>
        <item x="695"/>
        <item x="279"/>
        <item x="379"/>
        <item x="483"/>
        <item x="587"/>
        <item x="25"/>
        <item x="121"/>
        <item x="696"/>
        <item x="280"/>
        <item x="380"/>
        <item x="484"/>
        <item x="588"/>
        <item x="26"/>
        <item x="122"/>
        <item x="697"/>
        <item x="281"/>
        <item x="381"/>
        <item x="485"/>
        <item x="589"/>
        <item x="27"/>
        <item x="123"/>
        <item x="189"/>
        <item x="282"/>
        <item x="382"/>
        <item x="486"/>
        <item x="590"/>
        <item x="28"/>
        <item x="124"/>
        <item x="190"/>
        <item x="283"/>
        <item x="383"/>
        <item x="487"/>
        <item x="591"/>
        <item x="29"/>
        <item x="125"/>
        <item x="191"/>
        <item x="284"/>
        <item x="384"/>
        <item x="488"/>
        <item x="592"/>
        <item x="30"/>
        <item x="126"/>
        <item x="192"/>
        <item x="285"/>
        <item x="385"/>
        <item x="489"/>
        <item x="593"/>
        <item x="31"/>
        <item x="127"/>
        <item x="193"/>
        <item x="286"/>
        <item x="386"/>
        <item x="490"/>
        <item x="594"/>
        <item x="32"/>
        <item x="128"/>
        <item x="194"/>
        <item x="287"/>
        <item x="387"/>
        <item x="491"/>
        <item x="595"/>
        <item x="33"/>
        <item x="129"/>
        <item x="195"/>
        <item x="288"/>
        <item x="388"/>
        <item x="492"/>
        <item x="596"/>
        <item x="34"/>
        <item x="130"/>
        <item x="196"/>
        <item x="289"/>
        <item x="389"/>
        <item x="493"/>
        <item x="597"/>
        <item x="35"/>
        <item x="131"/>
        <item x="197"/>
        <item x="290"/>
        <item x="390"/>
        <item x="494"/>
        <item x="598"/>
        <item x="36"/>
        <item x="132"/>
        <item x="198"/>
        <item x="291"/>
        <item x="391"/>
        <item x="495"/>
        <item x="599"/>
        <item x="37"/>
        <item x="133"/>
        <item x="199"/>
        <item x="292"/>
        <item x="392"/>
        <item x="496"/>
        <item x="600"/>
        <item x="38"/>
        <item x="134"/>
        <item x="200"/>
        <item x="293"/>
        <item x="393"/>
        <item x="497"/>
        <item x="601"/>
        <item x="39"/>
        <item x="135"/>
        <item x="201"/>
        <item x="294"/>
        <item x="394"/>
        <item x="498"/>
        <item x="602"/>
        <item x="40"/>
        <item x="136"/>
        <item x="202"/>
        <item x="295"/>
        <item x="395"/>
        <item x="499"/>
        <item x="603"/>
        <item x="41"/>
        <item x="137"/>
        <item x="203"/>
        <item x="296"/>
        <item x="396"/>
        <item x="500"/>
        <item x="604"/>
        <item x="42"/>
        <item x="138"/>
        <item x="204"/>
        <item x="297"/>
        <item x="397"/>
        <item x="501"/>
        <item x="605"/>
        <item x="43"/>
        <item x="139"/>
        <item x="205"/>
        <item x="298"/>
        <item x="398"/>
        <item x="502"/>
        <item x="606"/>
        <item x="44"/>
        <item x="140"/>
        <item x="206"/>
        <item x="299"/>
        <item x="399"/>
        <item x="503"/>
        <item x="607"/>
        <item x="45"/>
        <item x="141"/>
        <item x="207"/>
        <item x="300"/>
        <item x="400"/>
        <item x="504"/>
        <item x="608"/>
        <item x="46"/>
        <item x="142"/>
        <item x="208"/>
        <item x="301"/>
        <item x="401"/>
        <item x="505"/>
        <item x="609"/>
        <item x="47"/>
        <item x="143"/>
        <item x="209"/>
        <item x="302"/>
        <item x="402"/>
        <item x="506"/>
        <item x="610"/>
        <item x="48"/>
        <item x="144"/>
        <item x="210"/>
        <item x="303"/>
        <item x="403"/>
        <item x="507"/>
        <item x="611"/>
        <item x="82"/>
        <item x="145"/>
        <item x="211"/>
        <item x="304"/>
        <item x="404"/>
        <item x="508"/>
        <item x="612"/>
        <item x="83"/>
        <item x="146"/>
        <item x="212"/>
        <item x="305"/>
        <item x="405"/>
        <item x="509"/>
        <item x="613"/>
        <item x="84"/>
        <item x="147"/>
        <item x="213"/>
        <item x="306"/>
        <item x="406"/>
        <item x="510"/>
        <item x="614"/>
        <item x="85"/>
        <item x="148"/>
        <item x="214"/>
        <item x="307"/>
        <item x="407"/>
        <item x="511"/>
        <item x="615"/>
        <item x="86"/>
        <item x="149"/>
        <item x="215"/>
        <item x="308"/>
        <item x="408"/>
        <item x="512"/>
        <item x="616"/>
        <item x="87"/>
        <item x="150"/>
        <item x="216"/>
        <item t="default"/>
      </items>
    </pivotField>
    <pivotField showAll="0"/>
    <pivotField showAll="0"/>
    <pivotField showAll="0"/>
    <pivotField axis="axisRow" showAll="0" measureFilter="1" sortType="descending">
      <items count="13">
        <item x="9"/>
        <item x="11"/>
        <item x="10"/>
        <item x="8"/>
        <item x="5"/>
        <item x="3"/>
        <item x="1"/>
        <item x="6"/>
        <item x="4"/>
        <item x="7"/>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6">
    <i>
      <x v="11"/>
    </i>
    <i>
      <x v="7"/>
    </i>
    <i>
      <x v="6"/>
    </i>
    <i>
      <x v="2"/>
    </i>
    <i>
      <x v="10"/>
    </i>
    <i t="grand">
      <x/>
    </i>
  </rowItems>
  <colItems count="1">
    <i/>
  </colItems>
  <dataFields count="1">
    <dataField name="Sum of Revenue" fld="12" baseField="0" baseItem="0" numFmtId="166"/>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E63C54-09E1-47D7-8CD4-18DE55438EB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B28:E42" firstHeaderRow="1" firstDataRow="2" firstDataCol="1"/>
  <pivotFields count="19">
    <pivotField showAll="0">
      <items count="730">
        <item x="88"/>
        <item m="1" x="728"/>
        <item m="1" x="702"/>
        <item x="309"/>
        <item x="409"/>
        <item x="513"/>
        <item x="89"/>
        <item x="661"/>
        <item m="1" x="703"/>
        <item m="1" x="698"/>
        <item x="410"/>
        <item x="514"/>
        <item m="1" x="716"/>
        <item x="90"/>
        <item x="662"/>
        <item m="1" x="704"/>
        <item m="1" x="699"/>
        <item x="411"/>
        <item x="515"/>
        <item m="1" x="717"/>
        <item x="91"/>
        <item x="663"/>
        <item m="1" x="705"/>
        <item m="1" x="700"/>
        <item x="412"/>
        <item x="516"/>
        <item m="1" x="718"/>
        <item x="92"/>
        <item x="664"/>
        <item m="1" x="706"/>
        <item m="1" x="701"/>
        <item x="413"/>
        <item x="517"/>
        <item m="1" x="719"/>
        <item x="93"/>
        <item x="665"/>
        <item m="1" x="707"/>
        <item x="310"/>
        <item x="414"/>
        <item x="518"/>
        <item m="1" x="720"/>
        <item x="94"/>
        <item x="666"/>
        <item m="1" x="708"/>
        <item x="311"/>
        <item x="415"/>
        <item x="519"/>
        <item m="1" x="721"/>
        <item x="95"/>
        <item x="667"/>
        <item m="1" x="709"/>
        <item x="312"/>
        <item x="416"/>
        <item x="520"/>
        <item m="1" x="722"/>
        <item x="96"/>
        <item x="659"/>
        <item x="217"/>
        <item x="313"/>
        <item x="417"/>
        <item x="521"/>
        <item x="660"/>
        <item x="97"/>
        <item x="668"/>
        <item m="1" x="710"/>
        <item x="314"/>
        <item x="418"/>
        <item x="522"/>
        <item m="1" x="723"/>
        <item x="617"/>
        <item x="669"/>
        <item m="1" x="711"/>
        <item x="315"/>
        <item x="419"/>
        <item x="523"/>
        <item m="1" x="724"/>
        <item x="618"/>
        <item x="670"/>
        <item m="1" x="712"/>
        <item x="316"/>
        <item x="420"/>
        <item x="524"/>
        <item m="1" x="725"/>
        <item x="619"/>
        <item x="671"/>
        <item m="1" x="713"/>
        <item x="317"/>
        <item x="421"/>
        <item x="525"/>
        <item m="1" x="726"/>
        <item x="620"/>
        <item x="672"/>
        <item x="218"/>
        <item x="318"/>
        <item x="422"/>
        <item x="526"/>
        <item m="1" x="727"/>
        <item x="621"/>
        <item x="673"/>
        <item x="219"/>
        <item x="319"/>
        <item x="423"/>
        <item x="527"/>
        <item x="49"/>
        <item x="622"/>
        <item x="674"/>
        <item x="220"/>
        <item x="320"/>
        <item x="424"/>
        <item x="528"/>
        <item x="50"/>
        <item x="623"/>
        <item x="675"/>
        <item x="221"/>
        <item x="321"/>
        <item x="425"/>
        <item x="529"/>
        <item x="51"/>
        <item x="624"/>
        <item x="676"/>
        <item x="222"/>
        <item x="322"/>
        <item x="426"/>
        <item x="530"/>
        <item x="52"/>
        <item x="625"/>
        <item x="677"/>
        <item x="223"/>
        <item x="323"/>
        <item x="427"/>
        <item x="531"/>
        <item x="53"/>
        <item x="626"/>
        <item x="678"/>
        <item x="224"/>
        <item x="324"/>
        <item x="428"/>
        <item x="532"/>
        <item x="54"/>
        <item x="627"/>
        <item x="679"/>
        <item x="225"/>
        <item x="325"/>
        <item x="429"/>
        <item x="533"/>
        <item x="55"/>
        <item x="628"/>
        <item x="680"/>
        <item x="226"/>
        <item x="326"/>
        <item x="430"/>
        <item x="534"/>
        <item x="56"/>
        <item x="629"/>
        <item x="681"/>
        <item x="227"/>
        <item x="327"/>
        <item x="431"/>
        <item x="535"/>
        <item x="57"/>
        <item x="630"/>
        <item x="682"/>
        <item x="228"/>
        <item x="328"/>
        <item x="432"/>
        <item x="536"/>
        <item x="58"/>
        <item x="631"/>
        <item x="683"/>
        <item x="229"/>
        <item x="329"/>
        <item x="433"/>
        <item x="537"/>
        <item x="59"/>
        <item x="632"/>
        <item x="151"/>
        <item x="230"/>
        <item x="330"/>
        <item x="434"/>
        <item x="538"/>
        <item x="60"/>
        <item x="98"/>
        <item x="152"/>
        <item x="231"/>
        <item x="331"/>
        <item x="435"/>
        <item x="539"/>
        <item x="61"/>
        <item x="99"/>
        <item x="153"/>
        <item x="232"/>
        <item x="332"/>
        <item x="436"/>
        <item x="540"/>
        <item x="62"/>
        <item x="100"/>
        <item x="154"/>
        <item x="233"/>
        <item x="333"/>
        <item x="437"/>
        <item x="541"/>
        <item x="63"/>
        <item x="101"/>
        <item x="155"/>
        <item x="234"/>
        <item x="334"/>
        <item x="438"/>
        <item x="542"/>
        <item x="64"/>
        <item x="102"/>
        <item x="156"/>
        <item x="235"/>
        <item x="335"/>
        <item x="439"/>
        <item x="543"/>
        <item x="65"/>
        <item x="103"/>
        <item x="157"/>
        <item x="236"/>
        <item x="336"/>
        <item x="440"/>
        <item x="544"/>
        <item x="66"/>
        <item x="633"/>
        <item x="158"/>
        <item x="237"/>
        <item x="337"/>
        <item x="441"/>
        <item x="545"/>
        <item x="67"/>
        <item x="634"/>
        <item x="159"/>
        <item x="238"/>
        <item x="338"/>
        <item x="442"/>
        <item x="546"/>
        <item x="68"/>
        <item x="635"/>
        <item x="160"/>
        <item x="239"/>
        <item x="339"/>
        <item x="443"/>
        <item x="547"/>
        <item x="69"/>
        <item x="636"/>
        <item x="161"/>
        <item x="240"/>
        <item x="340"/>
        <item x="444"/>
        <item x="548"/>
        <item x="70"/>
        <item x="637"/>
        <item x="162"/>
        <item x="241"/>
        <item x="341"/>
        <item x="445"/>
        <item x="549"/>
        <item x="71"/>
        <item x="638"/>
        <item x="163"/>
        <item x="242"/>
        <item x="342"/>
        <item x="446"/>
        <item x="550"/>
        <item x="72"/>
        <item x="639"/>
        <item x="164"/>
        <item x="243"/>
        <item x="343"/>
        <item x="447"/>
        <item x="551"/>
        <item x="73"/>
        <item x="640"/>
        <item x="165"/>
        <item x="244"/>
        <item x="344"/>
        <item x="448"/>
        <item x="552"/>
        <item x="74"/>
        <item x="641"/>
        <item x="166"/>
        <item x="245"/>
        <item x="345"/>
        <item x="449"/>
        <item x="553"/>
        <item x="75"/>
        <item x="642"/>
        <item x="167"/>
        <item x="246"/>
        <item x="346"/>
        <item x="450"/>
        <item x="554"/>
        <item x="76"/>
        <item x="643"/>
        <item x="168"/>
        <item x="247"/>
        <item x="347"/>
        <item x="451"/>
        <item x="555"/>
        <item x="77"/>
        <item x="644"/>
        <item x="169"/>
        <item x="248"/>
        <item x="348"/>
        <item x="452"/>
        <item x="556"/>
        <item x="78"/>
        <item x="104"/>
        <item x="170"/>
        <item x="249"/>
        <item x="349"/>
        <item x="453"/>
        <item x="557"/>
        <item x="79"/>
        <item x="105"/>
        <item x="171"/>
        <item x="250"/>
        <item x="350"/>
        <item x="454"/>
        <item x="558"/>
        <item x="80"/>
        <item x="106"/>
        <item x="172"/>
        <item x="251"/>
        <item x="351"/>
        <item x="455"/>
        <item x="559"/>
        <item x="81"/>
        <item x="107"/>
        <item x="173"/>
        <item x="252"/>
        <item x="352"/>
        <item x="456"/>
        <item x="560"/>
        <item x="0"/>
        <item x="108"/>
        <item x="174"/>
        <item x="253"/>
        <item x="353"/>
        <item x="457"/>
        <item x="561"/>
        <item x="1"/>
        <item x="109"/>
        <item x="175"/>
        <item x="254"/>
        <item x="354"/>
        <item x="458"/>
        <item x="562"/>
        <item x="2"/>
        <item x="110"/>
        <item x="176"/>
        <item x="255"/>
        <item x="355"/>
        <item x="459"/>
        <item x="563"/>
        <item x="3"/>
        <item x="111"/>
        <item x="177"/>
        <item x="256"/>
        <item x="356"/>
        <item x="460"/>
        <item x="564"/>
        <item x="4"/>
        <item x="645"/>
        <item x="178"/>
        <item x="257"/>
        <item x="357"/>
        <item x="461"/>
        <item x="565"/>
        <item m="1" x="714"/>
        <item x="646"/>
        <item x="179"/>
        <item x="258"/>
        <item x="358"/>
        <item x="462"/>
        <item x="566"/>
        <item m="1" x="715"/>
        <item x="647"/>
        <item x="180"/>
        <item x="259"/>
        <item x="359"/>
        <item x="463"/>
        <item x="567"/>
        <item x="5"/>
        <item x="648"/>
        <item x="181"/>
        <item x="260"/>
        <item x="360"/>
        <item x="464"/>
        <item x="568"/>
        <item x="6"/>
        <item x="649"/>
        <item x="182"/>
        <item x="261"/>
        <item x="361"/>
        <item x="465"/>
        <item x="569"/>
        <item x="7"/>
        <item x="650"/>
        <item x="183"/>
        <item x="262"/>
        <item x="362"/>
        <item x="466"/>
        <item x="570"/>
        <item x="8"/>
        <item x="651"/>
        <item x="184"/>
        <item x="263"/>
        <item x="363"/>
        <item x="467"/>
        <item x="571"/>
        <item x="9"/>
        <item x="652"/>
        <item x="185"/>
        <item x="264"/>
        <item x="364"/>
        <item x="468"/>
        <item x="572"/>
        <item x="10"/>
        <item x="653"/>
        <item x="186"/>
        <item x="265"/>
        <item x="365"/>
        <item x="469"/>
        <item x="573"/>
        <item x="11"/>
        <item x="654"/>
        <item x="187"/>
        <item x="266"/>
        <item x="366"/>
        <item x="470"/>
        <item x="574"/>
        <item x="12"/>
        <item x="655"/>
        <item x="188"/>
        <item x="267"/>
        <item x="367"/>
        <item x="471"/>
        <item x="575"/>
        <item x="13"/>
        <item x="656"/>
        <item x="684"/>
        <item x="268"/>
        <item x="368"/>
        <item x="472"/>
        <item x="576"/>
        <item x="14"/>
        <item x="657"/>
        <item x="685"/>
        <item x="269"/>
        <item x="369"/>
        <item x="473"/>
        <item x="577"/>
        <item x="15"/>
        <item x="658"/>
        <item x="686"/>
        <item x="270"/>
        <item x="370"/>
        <item x="474"/>
        <item x="578"/>
        <item x="16"/>
        <item x="112"/>
        <item x="687"/>
        <item x="271"/>
        <item x="371"/>
        <item x="475"/>
        <item x="579"/>
        <item x="17"/>
        <item x="113"/>
        <item x="688"/>
        <item x="272"/>
        <item x="372"/>
        <item x="476"/>
        <item x="580"/>
        <item x="18"/>
        <item x="114"/>
        <item x="689"/>
        <item x="273"/>
        <item x="373"/>
        <item x="477"/>
        <item x="581"/>
        <item x="19"/>
        <item x="115"/>
        <item x="690"/>
        <item x="274"/>
        <item x="374"/>
        <item x="478"/>
        <item x="582"/>
        <item x="20"/>
        <item x="116"/>
        <item x="691"/>
        <item x="275"/>
        <item x="375"/>
        <item x="479"/>
        <item x="583"/>
        <item x="21"/>
        <item x="117"/>
        <item x="692"/>
        <item x="276"/>
        <item x="376"/>
        <item x="480"/>
        <item x="584"/>
        <item x="22"/>
        <item x="118"/>
        <item x="693"/>
        <item x="277"/>
        <item x="377"/>
        <item x="481"/>
        <item x="585"/>
        <item x="23"/>
        <item x="119"/>
        <item x="694"/>
        <item x="278"/>
        <item x="378"/>
        <item x="482"/>
        <item x="586"/>
        <item x="24"/>
        <item x="120"/>
        <item x="695"/>
        <item x="279"/>
        <item x="379"/>
        <item x="483"/>
        <item x="587"/>
        <item x="25"/>
        <item x="121"/>
        <item x="696"/>
        <item x="280"/>
        <item x="380"/>
        <item x="484"/>
        <item x="588"/>
        <item x="26"/>
        <item x="122"/>
        <item x="697"/>
        <item x="281"/>
        <item x="381"/>
        <item x="485"/>
        <item x="589"/>
        <item x="27"/>
        <item x="123"/>
        <item x="189"/>
        <item x="282"/>
        <item x="382"/>
        <item x="486"/>
        <item x="590"/>
        <item x="28"/>
        <item x="124"/>
        <item x="190"/>
        <item x="283"/>
        <item x="383"/>
        <item x="487"/>
        <item x="591"/>
        <item x="29"/>
        <item x="125"/>
        <item x="191"/>
        <item x="284"/>
        <item x="384"/>
        <item x="488"/>
        <item x="592"/>
        <item x="30"/>
        <item x="126"/>
        <item x="192"/>
        <item x="285"/>
        <item x="385"/>
        <item x="489"/>
        <item x="593"/>
        <item x="31"/>
        <item x="127"/>
        <item x="193"/>
        <item x="286"/>
        <item x="386"/>
        <item x="490"/>
        <item x="594"/>
        <item x="32"/>
        <item x="128"/>
        <item x="194"/>
        <item x="287"/>
        <item x="387"/>
        <item x="491"/>
        <item x="595"/>
        <item x="33"/>
        <item x="129"/>
        <item x="195"/>
        <item x="288"/>
        <item x="388"/>
        <item x="492"/>
        <item x="596"/>
        <item x="34"/>
        <item x="130"/>
        <item x="196"/>
        <item x="289"/>
        <item x="389"/>
        <item x="493"/>
        <item x="597"/>
        <item x="35"/>
        <item x="131"/>
        <item x="197"/>
        <item x="290"/>
        <item x="390"/>
        <item x="494"/>
        <item x="598"/>
        <item x="36"/>
        <item x="132"/>
        <item x="198"/>
        <item x="291"/>
        <item x="391"/>
        <item x="495"/>
        <item x="599"/>
        <item x="37"/>
        <item x="133"/>
        <item x="199"/>
        <item x="292"/>
        <item x="392"/>
        <item x="496"/>
        <item x="600"/>
        <item x="38"/>
        <item x="134"/>
        <item x="200"/>
        <item x="293"/>
        <item x="393"/>
        <item x="497"/>
        <item x="601"/>
        <item x="39"/>
        <item x="135"/>
        <item x="201"/>
        <item x="294"/>
        <item x="394"/>
        <item x="498"/>
        <item x="602"/>
        <item x="40"/>
        <item x="136"/>
        <item x="202"/>
        <item x="295"/>
        <item x="395"/>
        <item x="499"/>
        <item x="603"/>
        <item x="41"/>
        <item x="137"/>
        <item x="203"/>
        <item x="296"/>
        <item x="396"/>
        <item x="500"/>
        <item x="604"/>
        <item x="42"/>
        <item x="138"/>
        <item x="204"/>
        <item x="297"/>
        <item x="397"/>
        <item x="501"/>
        <item x="605"/>
        <item x="43"/>
        <item x="139"/>
        <item x="205"/>
        <item x="298"/>
        <item x="398"/>
        <item x="502"/>
        <item x="606"/>
        <item x="44"/>
        <item x="140"/>
        <item x="206"/>
        <item x="299"/>
        <item x="399"/>
        <item x="503"/>
        <item x="607"/>
        <item x="45"/>
        <item x="141"/>
        <item x="207"/>
        <item x="300"/>
        <item x="400"/>
        <item x="504"/>
        <item x="608"/>
        <item x="46"/>
        <item x="142"/>
        <item x="208"/>
        <item x="301"/>
        <item x="401"/>
        <item x="505"/>
        <item x="609"/>
        <item x="47"/>
        <item x="143"/>
        <item x="209"/>
        <item x="302"/>
        <item x="402"/>
        <item x="506"/>
        <item x="610"/>
        <item x="48"/>
        <item x="144"/>
        <item x="210"/>
        <item x="303"/>
        <item x="403"/>
        <item x="507"/>
        <item x="611"/>
        <item x="82"/>
        <item x="145"/>
        <item x="211"/>
        <item x="304"/>
        <item x="404"/>
        <item x="508"/>
        <item x="612"/>
        <item x="83"/>
        <item x="146"/>
        <item x="212"/>
        <item x="305"/>
        <item x="405"/>
        <item x="509"/>
        <item x="613"/>
        <item x="84"/>
        <item x="147"/>
        <item x="213"/>
        <item x="306"/>
        <item x="406"/>
        <item x="510"/>
        <item x="614"/>
        <item x="85"/>
        <item x="148"/>
        <item x="214"/>
        <item x="307"/>
        <item x="407"/>
        <item x="511"/>
        <item x="615"/>
        <item x="86"/>
        <item x="149"/>
        <item x="215"/>
        <item x="308"/>
        <item x="408"/>
        <item x="512"/>
        <item x="616"/>
        <item x="87"/>
        <item x="150"/>
        <item x="21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16"/>
  </rowFields>
  <rowItems count="13">
    <i>
      <x v="1"/>
    </i>
    <i>
      <x v="2"/>
    </i>
    <i>
      <x v="3"/>
    </i>
    <i>
      <x v="4"/>
    </i>
    <i>
      <x v="5"/>
    </i>
    <i>
      <x v="6"/>
    </i>
    <i>
      <x v="7"/>
    </i>
    <i>
      <x v="8"/>
    </i>
    <i>
      <x v="9"/>
    </i>
    <i>
      <x v="10"/>
    </i>
    <i>
      <x v="11"/>
    </i>
    <i>
      <x v="12"/>
    </i>
    <i t="grand">
      <x/>
    </i>
  </rowItems>
  <colFields count="1">
    <field x="18"/>
  </colFields>
  <colItems count="3">
    <i>
      <x v="1"/>
    </i>
    <i>
      <x v="2"/>
    </i>
    <i t="grand">
      <x/>
    </i>
  </colItems>
  <dataFields count="1">
    <dataField name="Sum of Revenue"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9DF5CD5-D7EA-4E9A-89A4-55D83DB5D980}" autoFormatId="16" applyNumberFormats="0" applyBorderFormats="0" applyFontFormats="0" applyPatternFormats="0" applyAlignmentFormats="0" applyWidthHeightFormats="0">
  <queryTableRefresh nextId="17">
    <queryTableFields count="16">
      <queryTableField id="1" name="Date" tableColumnId="1"/>
      <queryTableField id="2" name="Region" tableColumnId="2"/>
      <queryTableField id="3" name="Product" tableColumnId="3"/>
      <queryTableField id="4" name="Category" tableColumnId="4"/>
      <queryTableField id="5" name="Campaign" tableColumnId="5"/>
      <queryTableField id="6" name="Marketing_Channel" tableColumnId="6"/>
      <queryTableField id="7" name="Quarter" tableColumnId="7"/>
      <queryTableField id="8" name="Spend" tableColumnId="8"/>
      <queryTableField id="9" name="Impressions" tableColumnId="9"/>
      <queryTableField id="10" name="Clicks" tableColumnId="10"/>
      <queryTableField id="11" name="Conversions" tableColumnId="11"/>
      <queryTableField id="12" name="Conversion Rate" tableColumnId="12"/>
      <queryTableField id="13" name="Revenue" tableColumnId="13"/>
      <queryTableField id="14" name="CTR" tableColumnId="14"/>
      <queryTableField id="15" name="CPC" tableColumnId="15"/>
      <queryTableField id="16" name="ROI"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FD76FF59-44C9-48A0-AFC3-D41B53E41BD5}" sourceName="Months (Date)">
  <pivotTables>
    <pivotTable tabId="1" name="PivotTable10"/>
    <pivotTable tabId="1" name="PivotTable11"/>
    <pivotTable tabId="1" name="PivotTable13"/>
    <pivotTable tabId="1" name="PivotTable14"/>
    <pivotTable tabId="1" name="PivotTable9"/>
    <pivotTable tabId="1" name="PivotTable6"/>
    <pivotTable tabId="1" name="PivotTable7"/>
    <pivotTable tabId="1" name="PivotTable16"/>
  </pivotTables>
  <data>
    <tabular pivotCacheId="1133062610">
      <items count="14">
        <i x="1" s="1"/>
        <i x="2" s="1"/>
        <i x="3" s="1"/>
        <i x="4" s="1"/>
        <i x="5" s="1"/>
        <i x="6" s="1"/>
        <i x="7" s="1"/>
        <i x="8" s="1"/>
        <i x="9" s="1"/>
        <i x="10" s="1"/>
        <i x="11" s="1"/>
        <i x="12" s="1"/>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74C1F0B6-4B43-4F22-AB7D-364CA91343D2}" cache="Slicer_Months__Date" caption="Months (Date)" columnCount="12" showCaption="0" style="SlicerStyleLight1 2"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9A2F21-2AA1-496E-B067-9209E0CC3B20}" name="Marketing_Analytics_Dataset__2" displayName="Marketing_Analytics_Dataset__2" ref="B5:Q1039" tableType="queryTable" totalsRowShown="0" headerRowDxfId="18" dataDxfId="16" headerRowBorderDxfId="17">
  <autoFilter ref="B5:Q1039" xr:uid="{889A2F21-2AA1-496E-B067-9209E0CC3B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A69A2F6-A60C-4F8A-BF8D-58B458E197AA}" uniqueName="1" name="Date" queryTableFieldId="1" dataDxfId="15"/>
    <tableColumn id="2" xr3:uid="{BA003B6C-7981-4888-8CE2-2FD1F6BFC2A9}" uniqueName="2" name="Region" queryTableFieldId="2" dataDxfId="14"/>
    <tableColumn id="3" xr3:uid="{68EEC22A-41DC-4863-AFA4-71F3DD3670BE}" uniqueName="3" name="Product" queryTableFieldId="3" dataDxfId="13"/>
    <tableColumn id="4" xr3:uid="{C0DAC0C5-EAF1-4BA0-B035-6931CD89B926}" uniqueName="4" name="Category" queryTableFieldId="4" dataDxfId="12"/>
    <tableColumn id="5" xr3:uid="{E7382BEA-9B7F-4141-A76D-03BC3244DB38}" uniqueName="5" name="Campaign" queryTableFieldId="5" dataDxfId="11"/>
    <tableColumn id="6" xr3:uid="{1D08EAAC-7556-44CF-8C7C-47AE3995916D}" uniqueName="6" name="Marketing_Channel" queryTableFieldId="6" dataDxfId="10"/>
    <tableColumn id="7" xr3:uid="{D0001471-8812-44D1-A6D7-E2269DCFE061}" uniqueName="7" name="Quarter" queryTableFieldId="7" dataDxfId="9"/>
    <tableColumn id="8" xr3:uid="{B090FD81-AB3F-4120-9F18-DA12B96C1406}" uniqueName="8" name="Spend" queryTableFieldId="8" dataDxfId="8"/>
    <tableColumn id="9" xr3:uid="{0D68BB01-3672-4FE3-B7D9-958238925356}" uniqueName="9" name="Impressions" queryTableFieldId="9" dataDxfId="7"/>
    <tableColumn id="10" xr3:uid="{4D014AF0-6D64-412B-A6E5-B658C820112D}" uniqueName="10" name="Clicks" queryTableFieldId="10" dataDxfId="6"/>
    <tableColumn id="11" xr3:uid="{920B916E-9044-4764-B703-5064A934B6AF}" uniqueName="11" name="Conversions" queryTableFieldId="11" dataDxfId="5"/>
    <tableColumn id="12" xr3:uid="{6903A389-6844-4359-B331-806C5A8C59CB}" uniqueName="12" name="Conversion Rate" queryTableFieldId="12" dataDxfId="4"/>
    <tableColumn id="13" xr3:uid="{EF0AFC2B-0A9F-4C33-9A7F-D84DD0DF071A}" uniqueName="13" name="Revenue" queryTableFieldId="13" dataDxfId="3"/>
    <tableColumn id="14" xr3:uid="{0919AC25-E18B-4740-8A6C-EDFC89FEF4E0}" uniqueName="14" name="CTR" queryTableFieldId="14" dataDxfId="2"/>
    <tableColumn id="15" xr3:uid="{EF1A75EB-EB3E-4389-941A-4F75C2D329A9}" uniqueName="15" name="CPC" queryTableFieldId="15" dataDxfId="1"/>
    <tableColumn id="16" xr3:uid="{5F7AD987-3F17-4425-8601-6E04840C52D1}" uniqueName="16" name="ROI"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E43C7-5AA3-4967-BB06-97D0664E0469}">
  <dimension ref="A1:P68"/>
  <sheetViews>
    <sheetView workbookViewId="0">
      <selection activeCell="G11" sqref="G11"/>
    </sheetView>
  </sheetViews>
  <sheetFormatPr defaultRowHeight="14.4" x14ac:dyDescent="0.3"/>
  <cols>
    <col min="1" max="1" width="22" bestFit="1" customWidth="1"/>
    <col min="2" max="2" width="14" customWidth="1"/>
    <col min="3" max="3" width="17.21875" customWidth="1"/>
    <col min="4" max="4" width="16" bestFit="1" customWidth="1"/>
    <col min="5" max="5" width="20" customWidth="1"/>
  </cols>
  <sheetData>
    <row r="1" spans="1:16" x14ac:dyDescent="0.3">
      <c r="A1" s="5" t="s">
        <v>0</v>
      </c>
      <c r="B1" s="5" t="s">
        <v>57</v>
      </c>
      <c r="C1" s="5" t="s">
        <v>2</v>
      </c>
      <c r="D1" s="5" t="s">
        <v>58</v>
      </c>
      <c r="E1" s="5" t="s">
        <v>4</v>
      </c>
      <c r="F1" s="5" t="s">
        <v>92</v>
      </c>
    </row>
    <row r="2" spans="1:16" x14ac:dyDescent="0.3">
      <c r="A2" s="13">
        <f>GETPIVOTDATA("Sum of Revenue",Pivot!$B$3)</f>
        <v>33577968.340000004</v>
      </c>
      <c r="B2" s="13">
        <f>GETPIVOTDATA("Sum of Spend",Pivot!$B$3)</f>
        <v>4113972.82</v>
      </c>
      <c r="C2" s="13">
        <f>GETPIVOTDATA("Sum of Impressions",Pivot!$B$3)</f>
        <v>96928090</v>
      </c>
      <c r="D2" s="13">
        <f>GETPIVOTDATA("Sum of Conversions",Pivot!$B$3)</f>
        <v>207860</v>
      </c>
      <c r="E2" s="6">
        <f>B2/D2</f>
        <v>19.792037044164342</v>
      </c>
      <c r="F2" s="24" t="str">
        <f>ROUND((A2-B2)/B2,1)&amp;"%"</f>
        <v>7.2%</v>
      </c>
    </row>
    <row r="3" spans="1:16" x14ac:dyDescent="0.3">
      <c r="A3" s="11" t="s">
        <v>59</v>
      </c>
      <c r="B3" s="11" t="s">
        <v>59</v>
      </c>
      <c r="C3" s="11" t="s">
        <v>59</v>
      </c>
      <c r="D3" s="11" t="s">
        <v>59</v>
      </c>
      <c r="E3" s="11" t="s">
        <v>59</v>
      </c>
      <c r="F3" s="11" t="s">
        <v>59</v>
      </c>
    </row>
    <row r="4" spans="1:16" x14ac:dyDescent="0.3">
      <c r="A4" s="8">
        <f>(GETPIVOTDATA("Sum of Revenue",Pivot!$B$3,"Years (Date)",2024)-GETPIVOTDATA("Sum of Revenue",Pivot!$B$3,"Years (Date)",2023))/GETPIVOTDATA("Sum of Revenue",Pivot!$B$3,"Years (Date)",2023)</f>
        <v>0.49381284694387911</v>
      </c>
      <c r="B4" s="8">
        <f>(GETPIVOTDATA("Sum of Spend",Pivot!$B$3,"Years (Date)",2024)-GETPIVOTDATA("Sum of Spend",Pivot!$B$3,"Years (Date)",2023))/GETPIVOTDATA("Sum of Spend",Pivot!$B$3,"Years (Date)",2023)</f>
        <v>0.50141542803577577</v>
      </c>
      <c r="C4" s="8">
        <f>(GETPIVOTDATA("Sum of Impressions",Pivot!$B$3,"Years (Date)",2024)-GETPIVOTDATA("Sum of Impressions",Pivot!$B$3,"Years (Date)",2023))/GETPIVOTDATA("Sum of Impressions",Pivot!$B$3,"Years (Date)",2023)</f>
        <v>0.47123546845775321</v>
      </c>
      <c r="D4" s="8">
        <f>(GETPIVOTDATA("Sum of Conversions",Pivot!$B$3,"Years (Date)",2024)-GETPIVOTDATA("Sum of Conversions",Pivot!$B$3,"Years (Date)",2023))/GETPIVOTDATA("Sum of Conversions",Pivot!$B$3,"Years (Date)",2023)</f>
        <v>0.48811960594199255</v>
      </c>
      <c r="E4" s="8">
        <f>(GETPIVOTDATA("Average of CPC",Pivot!$B$3,"Years (Date)",2024)-GETPIVOTDATA("Average of CPC",Pivot!$B$3,"Years (Date)",2023))/GETPIVOTDATA("Average of CPC",Pivot!$B$3,"Years (Date)",2023)</f>
        <v>0.25557959224555188</v>
      </c>
    </row>
    <row r="5" spans="1:16" x14ac:dyDescent="0.3">
      <c r="A5" s="9">
        <f>IF(A4&gt;0,A4,"")</f>
        <v>0.49381284694387911</v>
      </c>
      <c r="B5" s="9">
        <f t="shared" ref="B5:E5" si="0">IF(B4&gt;0,B4,"")</f>
        <v>0.50141542803577577</v>
      </c>
      <c r="C5" s="9">
        <f t="shared" si="0"/>
        <v>0.47123546845775321</v>
      </c>
      <c r="D5" s="9">
        <f t="shared" si="0"/>
        <v>0.48811960594199255</v>
      </c>
      <c r="E5" s="9">
        <f t="shared" si="0"/>
        <v>0.25557959224555188</v>
      </c>
      <c r="F5" s="12" t="s">
        <v>55</v>
      </c>
    </row>
    <row r="6" spans="1:16" x14ac:dyDescent="0.3">
      <c r="A6" s="9" t="str">
        <f>IF(A4&lt;=0,A4,"")</f>
        <v/>
      </c>
      <c r="B6" s="9" t="str">
        <f t="shared" ref="B6:E6" si="1">IF(B4&lt;=0,B4,"")</f>
        <v/>
      </c>
      <c r="C6" s="9" t="str">
        <f t="shared" si="1"/>
        <v/>
      </c>
      <c r="D6" s="9" t="str">
        <f t="shared" si="1"/>
        <v/>
      </c>
      <c r="E6" s="9" t="str">
        <f t="shared" si="1"/>
        <v/>
      </c>
      <c r="F6" s="10" t="s">
        <v>56</v>
      </c>
    </row>
    <row r="7" spans="1:16" x14ac:dyDescent="0.3">
      <c r="A7" s="19"/>
      <c r="B7" s="19"/>
      <c r="C7" s="19"/>
      <c r="D7" s="19"/>
      <c r="E7" s="19"/>
      <c r="F7" s="10"/>
    </row>
    <row r="8" spans="1:16" x14ac:dyDescent="0.3">
      <c r="A8" s="19"/>
      <c r="B8" s="19"/>
      <c r="C8" s="19"/>
      <c r="D8" s="19"/>
      <c r="E8" s="19"/>
      <c r="F8" s="10"/>
    </row>
    <row r="9" spans="1:16" s="18" customFormat="1" x14ac:dyDescent="0.3">
      <c r="D9" s="18" t="b">
        <v>1</v>
      </c>
      <c r="E9" s="16">
        <f>MAX(B11:B22)*5%</f>
        <v>114392.75899999999</v>
      </c>
      <c r="P9"/>
    </row>
    <row r="10" spans="1:16" x14ac:dyDescent="0.3">
      <c r="A10" s="21" t="s">
        <v>51</v>
      </c>
      <c r="B10" s="15" t="s">
        <v>52</v>
      </c>
      <c r="C10" s="15" t="s">
        <v>53</v>
      </c>
      <c r="D10" s="15" t="s">
        <v>54</v>
      </c>
      <c r="E10" s="17" t="s">
        <v>60</v>
      </c>
      <c r="F10" t="b">
        <v>1</v>
      </c>
      <c r="G10" s="11">
        <v>2024</v>
      </c>
      <c r="H10" s="11">
        <v>2023</v>
      </c>
    </row>
    <row r="11" spans="1:16" x14ac:dyDescent="0.3">
      <c r="A11" s="14" t="s">
        <v>17</v>
      </c>
      <c r="B11" s="13">
        <f>GETPIVOTDATA("Revenue",Pivot!$B$28,"Months (Date)",A11,"Years (Date)",2024)</f>
        <v>1201288.6099999999</v>
      </c>
      <c r="C11" s="13">
        <f>IF($F$10,IFERROR(GETPIVOTDATA("Revenue",Pivot!$B$10,"Months (Date)",A11,"Years (Date)",2024),NA()),NA())</f>
        <v>1201288.6099999999</v>
      </c>
      <c r="D11" s="13">
        <f>IF($D$9,GETPIVOTDATA("Revenue",Pivot!$B$28,"Months (Date)",A11,"Years (Date)",2023),NA())</f>
        <v>589125</v>
      </c>
      <c r="E11" s="13">
        <f>IF($F$10,C11+$E$9,NA())</f>
        <v>1315681.3689999999</v>
      </c>
      <c r="G11" s="13">
        <f>IFERROR(GETPIVOTDATA("Revenue",Pivot!$B$10,"Months (Date)",A11,"Years (Date)",2024),NA())</f>
        <v>1201288.6099999999</v>
      </c>
      <c r="H11" s="13">
        <f>IFERROR(GETPIVOTDATA("Revenue",Pivot!$B$28,"Months (Date)",A11,"Years (Date)",2023),NA())</f>
        <v>589125</v>
      </c>
    </row>
    <row r="12" spans="1:16" x14ac:dyDescent="0.3">
      <c r="A12" s="14" t="s">
        <v>18</v>
      </c>
      <c r="B12" s="13">
        <f>GETPIVOTDATA("Revenue",Pivot!$B$28,"Months (Date)",A12,"Years (Date)",2024)</f>
        <v>1270928.04</v>
      </c>
      <c r="C12" s="13">
        <f>IF($F$10,IFERROR(GETPIVOTDATA("Revenue",Pivot!$B$10,"Months (Date)",A12,"Years (Date)",2024),NA()),NA())</f>
        <v>1270928.04</v>
      </c>
      <c r="D12" s="13">
        <f>IF($D$9,GETPIVOTDATA("Revenue",Pivot!$B$28,"Months (Date)",A12,"Years (Date)",2023),NA())</f>
        <v>720000</v>
      </c>
      <c r="E12" s="13">
        <f t="shared" ref="E12:E22" si="2">IF($F$10,C12+$E$9,NA())</f>
        <v>1385320.7990000001</v>
      </c>
      <c r="G12" s="13">
        <f>IFERROR(GETPIVOTDATA("Revenue",Pivot!$B$10,"Months (Date)",A12,"Years (Date)",2024),NA())</f>
        <v>1270928.04</v>
      </c>
      <c r="H12" s="13">
        <f>IFERROR(GETPIVOTDATA("Revenue",Pivot!$B$28,"Months (Date)",A12,"Years (Date)",2023),NA())</f>
        <v>720000</v>
      </c>
    </row>
    <row r="13" spans="1:16" x14ac:dyDescent="0.3">
      <c r="A13" s="14" t="s">
        <v>19</v>
      </c>
      <c r="B13" s="13">
        <f>GETPIVOTDATA("Revenue",Pivot!$B$28,"Months (Date)",A13,"Years (Date)",2024)</f>
        <v>1234813.8799999999</v>
      </c>
      <c r="C13" s="13">
        <f>IF($F$10,IFERROR(GETPIVOTDATA("Revenue",Pivot!$B$10,"Months (Date)",A13,"Years (Date)",2024),NA()),NA())</f>
        <v>1234813.8799999999</v>
      </c>
      <c r="D13" s="13">
        <f>IF($D$9,GETPIVOTDATA("Revenue",Pivot!$B$28,"Months (Date)",A13,"Years (Date)",2023),NA())</f>
        <v>779250</v>
      </c>
      <c r="E13" s="13">
        <f t="shared" si="2"/>
        <v>1349206.639</v>
      </c>
      <c r="G13" s="13">
        <f>IFERROR(GETPIVOTDATA("Revenue",Pivot!$B$10,"Months (Date)",A13,"Years (Date)",2024),NA())</f>
        <v>1234813.8799999999</v>
      </c>
      <c r="H13" s="13">
        <f>IFERROR(GETPIVOTDATA("Revenue",Pivot!$B$28,"Months (Date)",A13,"Years (Date)",2023),NA())</f>
        <v>779250</v>
      </c>
    </row>
    <row r="14" spans="1:16" x14ac:dyDescent="0.3">
      <c r="A14" s="14" t="s">
        <v>20</v>
      </c>
      <c r="B14" s="13">
        <f>GETPIVOTDATA("Revenue",Pivot!$B$28,"Months (Date)",A14,"Years (Date)",2024)</f>
        <v>1270451.23</v>
      </c>
      <c r="C14" s="13">
        <f>IF($F$10,IFERROR(GETPIVOTDATA("Revenue",Pivot!$B$10,"Months (Date)",A14,"Years (Date)",2024),NA()),NA())</f>
        <v>1270451.23</v>
      </c>
      <c r="D14" s="13">
        <f>IF($D$9,GETPIVOTDATA("Revenue",Pivot!$B$28,"Months (Date)",A14,"Years (Date)",2023),NA())</f>
        <v>902383.31</v>
      </c>
      <c r="E14" s="13">
        <f t="shared" si="2"/>
        <v>1384843.9890000001</v>
      </c>
      <c r="G14" s="13">
        <f>IFERROR(GETPIVOTDATA("Revenue",Pivot!$B$10,"Months (Date)",A14,"Years (Date)",2024),NA())</f>
        <v>1270451.23</v>
      </c>
      <c r="H14" s="13">
        <f>IFERROR(GETPIVOTDATA("Revenue",Pivot!$B$28,"Months (Date)",A14,"Years (Date)",2023),NA())</f>
        <v>902383.31</v>
      </c>
    </row>
    <row r="15" spans="1:16" x14ac:dyDescent="0.3">
      <c r="A15" s="14" t="s">
        <v>21</v>
      </c>
      <c r="B15" s="13">
        <f>GETPIVOTDATA("Revenue",Pivot!$B$28,"Months (Date)",A15,"Years (Date)",2024)</f>
        <v>1590982.51</v>
      </c>
      <c r="C15" s="13">
        <f>IF($F$10,IFERROR(GETPIVOTDATA("Revenue",Pivot!$B$10,"Months (Date)",A15,"Years (Date)",2024),NA()),NA())</f>
        <v>1590982.51</v>
      </c>
      <c r="D15" s="13">
        <f>IF($D$9,GETPIVOTDATA("Revenue",Pivot!$B$28,"Months (Date)",A15,"Years (Date)",2023),NA())</f>
        <v>1070748.33</v>
      </c>
      <c r="E15" s="13">
        <f t="shared" si="2"/>
        <v>1705375.2690000001</v>
      </c>
      <c r="G15" s="13">
        <f>IFERROR(GETPIVOTDATA("Revenue",Pivot!$B$10,"Months (Date)",A15,"Years (Date)",2024),NA())</f>
        <v>1590982.51</v>
      </c>
      <c r="H15" s="13">
        <f>IFERROR(GETPIVOTDATA("Revenue",Pivot!$B$28,"Months (Date)",A15,"Years (Date)",2023),NA())</f>
        <v>1070748.33</v>
      </c>
    </row>
    <row r="16" spans="1:16" x14ac:dyDescent="0.3">
      <c r="A16" s="14" t="s">
        <v>22</v>
      </c>
      <c r="B16" s="13">
        <f>GETPIVOTDATA("Revenue",Pivot!$B$28,"Months (Date)",A16,"Years (Date)",2024)</f>
        <v>1443615.8499999999</v>
      </c>
      <c r="C16" s="13">
        <f>IF($F$10,IFERROR(GETPIVOTDATA("Revenue",Pivot!$B$10,"Months (Date)",A16,"Years (Date)",2024),NA()),NA())</f>
        <v>1443615.8499999999</v>
      </c>
      <c r="D16" s="13">
        <f>IF($D$9,GETPIVOTDATA("Revenue",Pivot!$B$28,"Months (Date)",A16,"Years (Date)",2023),NA())</f>
        <v>965588.26</v>
      </c>
      <c r="E16" s="13">
        <f t="shared" si="2"/>
        <v>1558008.6089999999</v>
      </c>
      <c r="G16" s="13">
        <f>IFERROR(GETPIVOTDATA("Revenue",Pivot!$B$10,"Months (Date)",A16,"Years (Date)",2024),NA())</f>
        <v>1443615.8499999999</v>
      </c>
      <c r="H16" s="13">
        <f>IFERROR(GETPIVOTDATA("Revenue",Pivot!$B$28,"Months (Date)",A16,"Years (Date)",2023),NA())</f>
        <v>965588.26</v>
      </c>
    </row>
    <row r="17" spans="1:8" x14ac:dyDescent="0.3">
      <c r="A17" s="14" t="s">
        <v>23</v>
      </c>
      <c r="B17" s="13">
        <f>GETPIVOTDATA("Revenue",Pivot!$B$28,"Months (Date)",A17,"Years (Date)",2024)</f>
        <v>1714874.95</v>
      </c>
      <c r="C17" s="13">
        <f>IF($F$10,IFERROR(GETPIVOTDATA("Revenue",Pivot!$B$10,"Months (Date)",A17,"Years (Date)",2024),NA()),NA())</f>
        <v>1714874.95</v>
      </c>
      <c r="D17" s="13">
        <f>IF($D$9,GETPIVOTDATA("Revenue",Pivot!$B$28,"Months (Date)",A17,"Years (Date)",2023),NA())</f>
        <v>1290750</v>
      </c>
      <c r="E17" s="13">
        <f t="shared" si="2"/>
        <v>1829267.709</v>
      </c>
      <c r="G17" s="13">
        <f>IFERROR(GETPIVOTDATA("Revenue",Pivot!$B$10,"Months (Date)",A17,"Years (Date)",2024),NA())</f>
        <v>1714874.95</v>
      </c>
      <c r="H17" s="13">
        <f>IFERROR(GETPIVOTDATA("Revenue",Pivot!$B$28,"Months (Date)",A17,"Years (Date)",2023),NA())</f>
        <v>1290750</v>
      </c>
    </row>
    <row r="18" spans="1:8" x14ac:dyDescent="0.3">
      <c r="A18" s="14" t="s">
        <v>24</v>
      </c>
      <c r="B18" s="13">
        <f>GETPIVOTDATA("Revenue",Pivot!$B$28,"Months (Date)",A18,"Years (Date)",2024)</f>
        <v>1861950.67</v>
      </c>
      <c r="C18" s="13">
        <f>IF($F$10,IFERROR(GETPIVOTDATA("Revenue",Pivot!$B$10,"Months (Date)",A18,"Years (Date)",2024),NA()),NA())</f>
        <v>1861950.67</v>
      </c>
      <c r="D18" s="13">
        <f>IF($D$9,GETPIVOTDATA("Revenue",Pivot!$B$28,"Months (Date)",A18,"Years (Date)",2023),NA())</f>
        <v>1308973.2</v>
      </c>
      <c r="E18" s="13">
        <f t="shared" si="2"/>
        <v>1976343.429</v>
      </c>
      <c r="G18" s="13">
        <f>IFERROR(GETPIVOTDATA("Revenue",Pivot!$B$10,"Months (Date)",A18,"Years (Date)",2024),NA())</f>
        <v>1861950.67</v>
      </c>
      <c r="H18" s="13">
        <f>IFERROR(GETPIVOTDATA("Revenue",Pivot!$B$28,"Months (Date)",A18,"Years (Date)",2023),NA())</f>
        <v>1308973.2</v>
      </c>
    </row>
    <row r="19" spans="1:8" x14ac:dyDescent="0.3">
      <c r="A19" s="14" t="s">
        <v>25</v>
      </c>
      <c r="B19" s="13">
        <f>GETPIVOTDATA("Revenue",Pivot!$B$28,"Months (Date)",A19,"Years (Date)",2024)</f>
        <v>2287855.1799999997</v>
      </c>
      <c r="C19" s="13">
        <f>IF($F$10,IFERROR(GETPIVOTDATA("Revenue",Pivot!$B$10,"Months (Date)",A19,"Years (Date)",2024),NA()),NA())</f>
        <v>2287855.1799999997</v>
      </c>
      <c r="D19" s="13">
        <f>IF($D$9,GETPIVOTDATA("Revenue",Pivot!$B$28,"Months (Date)",A19,"Years (Date)",2023),NA())</f>
        <v>1233473</v>
      </c>
      <c r="E19" s="13">
        <f t="shared" si="2"/>
        <v>2402247.9389999998</v>
      </c>
      <c r="G19" s="13">
        <f>IFERROR(GETPIVOTDATA("Revenue",Pivot!$B$10,"Months (Date)",A19,"Years (Date)",2024),NA())</f>
        <v>2287855.1799999997</v>
      </c>
      <c r="H19" s="13">
        <f>IFERROR(GETPIVOTDATA("Revenue",Pivot!$B$28,"Months (Date)",A19,"Years (Date)",2023),NA())</f>
        <v>1233473</v>
      </c>
    </row>
    <row r="20" spans="1:8" x14ac:dyDescent="0.3">
      <c r="A20" s="14" t="s">
        <v>26</v>
      </c>
      <c r="B20" s="13">
        <f>GETPIVOTDATA("Revenue",Pivot!$B$28,"Months (Date)",A20,"Years (Date)",2024)</f>
        <v>2190555.2400000002</v>
      </c>
      <c r="C20" s="13">
        <f>IF($F$10,IFERROR(GETPIVOTDATA("Revenue",Pivot!$B$10,"Months (Date)",A20,"Years (Date)",2024),NA()),NA())</f>
        <v>2190555.2400000002</v>
      </c>
      <c r="D20" s="13">
        <f>IF($D$9,GETPIVOTDATA("Revenue",Pivot!$B$28,"Months (Date)",A20,"Years (Date)",2023),NA())</f>
        <v>1343467.97</v>
      </c>
      <c r="E20" s="13">
        <f t="shared" si="2"/>
        <v>2304947.9990000003</v>
      </c>
      <c r="G20" s="13">
        <f>IFERROR(GETPIVOTDATA("Revenue",Pivot!$B$10,"Months (Date)",A20,"Years (Date)",2024),NA())</f>
        <v>2190555.2400000002</v>
      </c>
      <c r="H20" s="13">
        <f>IFERROR(GETPIVOTDATA("Revenue",Pivot!$B$28,"Months (Date)",A20,"Years (Date)",2023),NA())</f>
        <v>1343467.97</v>
      </c>
    </row>
    <row r="21" spans="1:8" x14ac:dyDescent="0.3">
      <c r="A21" s="14" t="s">
        <v>27</v>
      </c>
      <c r="B21" s="13">
        <f>GETPIVOTDATA("Revenue",Pivot!$B$28,"Months (Date)",A21,"Years (Date)",2024)</f>
        <v>2094258.24</v>
      </c>
      <c r="C21" s="13">
        <f>IF($F$10,IFERROR(GETPIVOTDATA("Revenue",Pivot!$B$10,"Months (Date)",A21,"Years (Date)",2024),NA()),NA())</f>
        <v>2094258.24</v>
      </c>
      <c r="D21" s="13">
        <f>IF($D$9,GETPIVOTDATA("Revenue",Pivot!$B$28,"Months (Date)",A21,"Years (Date)",2023),NA())</f>
        <v>1428955.36</v>
      </c>
      <c r="E21" s="13">
        <f t="shared" si="2"/>
        <v>2208650.9989999998</v>
      </c>
      <c r="G21" s="13">
        <f>IFERROR(GETPIVOTDATA("Revenue",Pivot!$B$10,"Months (Date)",A21,"Years (Date)",2024),NA())</f>
        <v>2094258.24</v>
      </c>
      <c r="H21" s="13">
        <f>IFERROR(GETPIVOTDATA("Revenue",Pivot!$B$28,"Months (Date)",A21,"Years (Date)",2023),NA())</f>
        <v>1428955.36</v>
      </c>
    </row>
    <row r="22" spans="1:8" x14ac:dyDescent="0.3">
      <c r="A22" s="14" t="s">
        <v>28</v>
      </c>
      <c r="B22" s="13">
        <f>GETPIVOTDATA("Revenue",Pivot!$B$28,"Months (Date)",A22,"Years (Date)",2024)</f>
        <v>1951883.81</v>
      </c>
      <c r="C22" s="13">
        <f>IF($F$10,IFERROR(GETPIVOTDATA("Revenue",Pivot!$B$10,"Months (Date)",A22,"Years (Date)",2024),NA()),NA())</f>
        <v>1951883.81</v>
      </c>
      <c r="D22" s="13">
        <f>IF($D$9,GETPIVOTDATA("Revenue",Pivot!$B$28,"Months (Date)",A22,"Years (Date)",2023),NA())</f>
        <v>1831795.7000000002</v>
      </c>
      <c r="E22" s="13">
        <f t="shared" si="2"/>
        <v>2066276.5690000001</v>
      </c>
      <c r="G22" s="13">
        <f>IFERROR(GETPIVOTDATA("Revenue",Pivot!$B$10,"Months (Date)",A22,"Years (Date)",2024),NA())</f>
        <v>1951883.81</v>
      </c>
      <c r="H22" s="13">
        <f>IFERROR(GETPIVOTDATA("Revenue",Pivot!$B$28,"Months (Date)",A22,"Years (Date)",2023),NA())</f>
        <v>1831795.7000000002</v>
      </c>
    </row>
    <row r="23" spans="1:8" x14ac:dyDescent="0.3">
      <c r="C23" s="16">
        <f>SUMIF(G11:G22,"&gt;0")</f>
        <v>20113458.209999997</v>
      </c>
      <c r="D23" s="16">
        <f>SUMIF(G11:G22,"&gt;0",H11:H22)</f>
        <v>13464510.130000003</v>
      </c>
    </row>
    <row r="27" spans="1:8" x14ac:dyDescent="0.3">
      <c r="A27" t="s">
        <v>95</v>
      </c>
      <c r="D27" s="16">
        <f>MAX(B28:B31)*5%</f>
        <v>710062.65350000001</v>
      </c>
    </row>
    <row r="28" spans="1:8" x14ac:dyDescent="0.3">
      <c r="A28" s="4" t="s">
        <v>30</v>
      </c>
      <c r="B28" s="13">
        <f>GETPIVOTDATA("Sum of Revenue",Pivot!$B$46,"Marketing_Channel",A28)</f>
        <v>4917146.66</v>
      </c>
      <c r="C28" s="13">
        <f>GETPIVOTDATA("Sum of Conversions",Pivot!$B$46,"Marketing_Channel",A28)</f>
        <v>19518</v>
      </c>
      <c r="D28" s="13">
        <f>$D$27</f>
        <v>710062.65350000001</v>
      </c>
    </row>
    <row r="29" spans="1:8" x14ac:dyDescent="0.3">
      <c r="A29" s="4" t="s">
        <v>33</v>
      </c>
      <c r="B29" s="13">
        <f>GETPIVOTDATA("Sum of Revenue",Pivot!$B$46,"Marketing_Channel",A29)</f>
        <v>6936289.5699999994</v>
      </c>
      <c r="C29" s="13">
        <f>GETPIVOTDATA("Sum of Conversions",Pivot!$B$46,"Marketing_Channel",A29)</f>
        <v>44732</v>
      </c>
      <c r="D29" s="13">
        <f t="shared" ref="D29:D31" si="3">$D$27</f>
        <v>710062.65350000001</v>
      </c>
    </row>
    <row r="30" spans="1:8" x14ac:dyDescent="0.3">
      <c r="A30" s="4" t="s">
        <v>32</v>
      </c>
      <c r="B30" s="13">
        <f>GETPIVOTDATA("Sum of Revenue",Pivot!$B$46,"Marketing_Channel",A30)</f>
        <v>7523279.0399999991</v>
      </c>
      <c r="C30" s="13">
        <f>GETPIVOTDATA("Sum of Conversions",Pivot!$B$46,"Marketing_Channel",A30)</f>
        <v>49608</v>
      </c>
      <c r="D30" s="13">
        <f t="shared" si="3"/>
        <v>710062.65350000001</v>
      </c>
    </row>
    <row r="31" spans="1:8" x14ac:dyDescent="0.3">
      <c r="A31" s="4" t="s">
        <v>31</v>
      </c>
      <c r="B31" s="13">
        <f>GETPIVOTDATA("Sum of Revenue",Pivot!$B$46,"Marketing_Channel",A31)</f>
        <v>14201253.07</v>
      </c>
      <c r="C31" s="13">
        <f>GETPIVOTDATA("Sum of Conversions",Pivot!$B$46,"Marketing_Channel",A31)</f>
        <v>94002</v>
      </c>
      <c r="D31" s="13">
        <f t="shared" si="3"/>
        <v>710062.65350000001</v>
      </c>
    </row>
    <row r="35" spans="1:4" x14ac:dyDescent="0.3">
      <c r="A35" s="7" t="s">
        <v>61</v>
      </c>
      <c r="B35" s="11" t="s">
        <v>62</v>
      </c>
      <c r="C35" s="11" t="s">
        <v>63</v>
      </c>
      <c r="D35" s="11" t="s">
        <v>64</v>
      </c>
    </row>
    <row r="36" spans="1:4" x14ac:dyDescent="0.3">
      <c r="A36" s="4" t="s">
        <v>12</v>
      </c>
      <c r="B36" s="13">
        <f>GETPIVOTDATA("Revenue",Pivot!$B$89,"Region",A36)</f>
        <v>11746551.029999999</v>
      </c>
      <c r="C36" s="13">
        <f>B36</f>
        <v>11746551.029999999</v>
      </c>
      <c r="D36" s="13">
        <f>C36</f>
        <v>11746551.029999999</v>
      </c>
    </row>
    <row r="37" spans="1:4" x14ac:dyDescent="0.3">
      <c r="A37" s="4" t="s">
        <v>11</v>
      </c>
      <c r="B37" s="13">
        <f>GETPIVOTDATA("Revenue",Pivot!$B$89,"Region",A37)</f>
        <v>9635644.3200000003</v>
      </c>
      <c r="C37" s="13">
        <f t="shared" ref="C37:D39" si="4">B37</f>
        <v>9635644.3200000003</v>
      </c>
      <c r="D37" s="13">
        <f t="shared" si="4"/>
        <v>9635644.3200000003</v>
      </c>
    </row>
    <row r="38" spans="1:4" x14ac:dyDescent="0.3">
      <c r="A38" s="4" t="s">
        <v>13</v>
      </c>
      <c r="B38" s="13">
        <f>GETPIVOTDATA("Revenue",Pivot!$B$89,"Region",A38)</f>
        <v>7172633.1400000006</v>
      </c>
      <c r="C38" s="13">
        <f t="shared" si="4"/>
        <v>7172633.1400000006</v>
      </c>
      <c r="D38" s="13">
        <f t="shared" si="4"/>
        <v>7172633.1400000006</v>
      </c>
    </row>
    <row r="39" spans="1:4" x14ac:dyDescent="0.3">
      <c r="A39" s="4" t="s">
        <v>10</v>
      </c>
      <c r="B39" s="13">
        <f>GETPIVOTDATA("Revenue",Pivot!$B$89,"Region",A39)</f>
        <v>5023139.8499999996</v>
      </c>
      <c r="C39" s="13">
        <f t="shared" si="4"/>
        <v>5023139.8499999996</v>
      </c>
      <c r="D39" s="13">
        <f t="shared" si="4"/>
        <v>5023139.8499999996</v>
      </c>
    </row>
    <row r="43" spans="1:4" ht="27.6" x14ac:dyDescent="0.3">
      <c r="A43" s="7" t="s">
        <v>89</v>
      </c>
      <c r="B43" s="13" t="s">
        <v>52</v>
      </c>
    </row>
    <row r="44" spans="1:4" x14ac:dyDescent="0.3">
      <c r="A44" s="4" t="s">
        <v>47</v>
      </c>
      <c r="B44" s="13">
        <f>GETPIVOTDATA("Revenue",Pivot!$B$98,"Category",A44)</f>
        <v>15082727.409999998</v>
      </c>
    </row>
    <row r="45" spans="1:4" x14ac:dyDescent="0.3">
      <c r="A45" s="4" t="s">
        <v>48</v>
      </c>
      <c r="B45" s="13">
        <f>GETPIVOTDATA("Revenue",Pivot!$B$98,"Category",A45)</f>
        <v>12172956.609999999</v>
      </c>
    </row>
    <row r="46" spans="1:4" x14ac:dyDescent="0.3">
      <c r="A46" s="4" t="s">
        <v>49</v>
      </c>
      <c r="B46" s="13">
        <f>GETPIVOTDATA("Revenue",Pivot!$B$98,"Category",A46)</f>
        <v>6322284.3200000003</v>
      </c>
    </row>
    <row r="48" spans="1:4" x14ac:dyDescent="0.3">
      <c r="B48" t="s">
        <v>94</v>
      </c>
      <c r="C48" t="s">
        <v>52</v>
      </c>
      <c r="D48" t="s">
        <v>93</v>
      </c>
    </row>
    <row r="49" spans="1:4" x14ac:dyDescent="0.3">
      <c r="A49" t="str" cm="1">
        <f t="array" ref="A49:C60">_xlfn._xlws.SORT(Pivot!B74:D85,3,-1)</f>
        <v>Summer Sale Campaign</v>
      </c>
      <c r="B49">
        <v>953038.5</v>
      </c>
      <c r="C49">
        <v>7526106.3199999994</v>
      </c>
      <c r="D49">
        <f>ROUND((C49-B49)/B49,1)</f>
        <v>6.9</v>
      </c>
    </row>
    <row r="50" spans="1:4" x14ac:dyDescent="0.3">
      <c r="A50" t="str">
        <v>Retargeting Campaign</v>
      </c>
      <c r="B50">
        <v>737503.08000000007</v>
      </c>
      <c r="C50">
        <v>5903948.3800000008</v>
      </c>
      <c r="D50">
        <f t="shared" ref="D50:D60" si="5">ROUND((C50-B50)/B50,1)</f>
        <v>7</v>
      </c>
    </row>
    <row r="51" spans="1:4" x14ac:dyDescent="0.3">
      <c r="A51" t="str">
        <v>New Product Launch</v>
      </c>
      <c r="B51">
        <v>550311.75</v>
      </c>
      <c r="C51">
        <v>4710860.21</v>
      </c>
      <c r="D51">
        <f t="shared" si="5"/>
        <v>7.6</v>
      </c>
    </row>
    <row r="52" spans="1:4" x14ac:dyDescent="0.3">
      <c r="A52" t="str">
        <v>Email Promotion</v>
      </c>
      <c r="B52">
        <v>377693.37</v>
      </c>
      <c r="C52">
        <v>3321507.81</v>
      </c>
      <c r="D52">
        <f t="shared" si="5"/>
        <v>7.8</v>
      </c>
    </row>
    <row r="53" spans="1:4" x14ac:dyDescent="0.3">
      <c r="A53" t="str">
        <v>Social Media Boost Campaign</v>
      </c>
      <c r="B53">
        <v>380315.77</v>
      </c>
      <c r="C53">
        <v>3301121.15</v>
      </c>
      <c r="D53">
        <f t="shared" si="5"/>
        <v>7.7</v>
      </c>
    </row>
    <row r="54" spans="1:4" x14ac:dyDescent="0.3">
      <c r="A54" t="str">
        <v>Search Engine Ads Campaign</v>
      </c>
      <c r="B54">
        <v>315964.82999999996</v>
      </c>
      <c r="C54">
        <v>2443942.3600000003</v>
      </c>
      <c r="D54">
        <f t="shared" si="5"/>
        <v>6.7</v>
      </c>
    </row>
    <row r="55" spans="1:4" x14ac:dyDescent="0.3">
      <c r="A55" t="str">
        <v>Brand Awareness Campaign</v>
      </c>
      <c r="B55">
        <v>159300</v>
      </c>
      <c r="C55">
        <v>1480725</v>
      </c>
      <c r="D55">
        <f t="shared" si="5"/>
        <v>8.3000000000000007</v>
      </c>
    </row>
    <row r="56" spans="1:4" x14ac:dyDescent="0.3">
      <c r="A56" t="str">
        <v>Loyalty Program Campaign</v>
      </c>
      <c r="B56">
        <v>168668.88999999998</v>
      </c>
      <c r="C56">
        <v>1337997.76</v>
      </c>
      <c r="D56">
        <f t="shared" si="5"/>
        <v>6.9</v>
      </c>
    </row>
    <row r="57" spans="1:4" x14ac:dyDescent="0.3">
      <c r="A57" t="str">
        <v>Seasonal Discount Campaign</v>
      </c>
      <c r="B57">
        <v>168293.26</v>
      </c>
      <c r="C57">
        <v>1247123.0699999998</v>
      </c>
      <c r="D57">
        <f t="shared" si="5"/>
        <v>6.4</v>
      </c>
    </row>
    <row r="58" spans="1:4" x14ac:dyDescent="0.3">
      <c r="A58" t="str">
        <v>Flash Sale Campaign</v>
      </c>
      <c r="B58">
        <v>135664.70000000001</v>
      </c>
      <c r="C58">
        <v>1000645.2</v>
      </c>
      <c r="D58">
        <f t="shared" si="5"/>
        <v>6.4</v>
      </c>
    </row>
    <row r="59" spans="1:4" x14ac:dyDescent="0.3">
      <c r="A59" t="str">
        <v>Cart Abandonment Campaign</v>
      </c>
      <c r="B59">
        <v>74650</v>
      </c>
      <c r="C59">
        <v>666825</v>
      </c>
      <c r="D59">
        <f t="shared" si="5"/>
        <v>7.9</v>
      </c>
    </row>
    <row r="60" spans="1:4" x14ac:dyDescent="0.3">
      <c r="A60" t="str">
        <v>Influencer Marketing Campaign</v>
      </c>
      <c r="B60">
        <v>92568.67</v>
      </c>
      <c r="C60">
        <v>637166.08000000007</v>
      </c>
      <c r="D60">
        <f t="shared" si="5"/>
        <v>5.9</v>
      </c>
    </row>
    <row r="64" spans="1:4" x14ac:dyDescent="0.3">
      <c r="A64" t="str" cm="1">
        <f t="array" ref="A64:B68">_xlfn.TAKE(_xlfn._xlws.SORT(CHOOSE({1,2},A49:A60,D49:D60),2,1),-5)</f>
        <v>New Product Launch</v>
      </c>
      <c r="B64">
        <v>7.6</v>
      </c>
      <c r="C64" t="str">
        <f>B64&amp;"%"</f>
        <v>7.6%</v>
      </c>
    </row>
    <row r="65" spans="1:3" x14ac:dyDescent="0.3">
      <c r="A65" t="str">
        <v>Social Media Boost Campaign</v>
      </c>
      <c r="B65">
        <v>7.7</v>
      </c>
      <c r="C65" t="str">
        <f t="shared" ref="C65:C68" si="6">B65&amp;"%"</f>
        <v>7.7%</v>
      </c>
    </row>
    <row r="66" spans="1:3" x14ac:dyDescent="0.3">
      <c r="A66" t="str">
        <v>Email Promotion</v>
      </c>
      <c r="B66">
        <v>7.8</v>
      </c>
      <c r="C66" t="str">
        <f t="shared" si="6"/>
        <v>7.8%</v>
      </c>
    </row>
    <row r="67" spans="1:3" x14ac:dyDescent="0.3">
      <c r="A67" t="str">
        <v>Cart Abandonment Campaign</v>
      </c>
      <c r="B67">
        <v>7.9</v>
      </c>
      <c r="C67" t="str">
        <f t="shared" si="6"/>
        <v>7.9%</v>
      </c>
    </row>
    <row r="68" spans="1:3" x14ac:dyDescent="0.3">
      <c r="A68" t="str">
        <v>Brand Awareness Campaign</v>
      </c>
      <c r="B68">
        <v>8.3000000000000007</v>
      </c>
      <c r="C68" t="str">
        <f t="shared" si="6"/>
        <v>8.3%</v>
      </c>
    </row>
  </sheetData>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ADC3B-0CD0-4490-A031-22861BCF4375}">
  <dimension ref="AA11"/>
  <sheetViews>
    <sheetView showGridLines="0" showRowColHeaders="0" tabSelected="1" zoomScale="103" zoomScaleNormal="103" workbookViewId="0"/>
  </sheetViews>
  <sheetFormatPr defaultRowHeight="14.4" x14ac:dyDescent="0.3"/>
  <sheetData>
    <row r="11" spans="27:27" x14ac:dyDescent="0.3">
      <c r="AA11" s="22"/>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Check Box 1">
              <controlPr defaultSize="0" autoFill="0" autoLine="0" autoPict="0">
                <anchor moveWithCells="1">
                  <from>
                    <xdr:col>4</xdr:col>
                    <xdr:colOff>60960</xdr:colOff>
                    <xdr:row>22</xdr:row>
                    <xdr:rowOff>160020</xdr:rowOff>
                  </from>
                  <to>
                    <xdr:col>5</xdr:col>
                    <xdr:colOff>7620</xdr:colOff>
                    <xdr:row>24</xdr:row>
                    <xdr:rowOff>15240</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ECC10-8B58-4186-9BA7-DC38733DFD17}">
  <dimension ref="AA11"/>
  <sheetViews>
    <sheetView showGridLines="0" showRowColHeaders="0" zoomScale="103" zoomScaleNormal="103" workbookViewId="0"/>
  </sheetViews>
  <sheetFormatPr defaultRowHeight="14.4" x14ac:dyDescent="0.3"/>
  <sheetData>
    <row r="11" spans="27:27" x14ac:dyDescent="0.3">
      <c r="AA11"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58032-C625-4AA6-B366-55BDE8F8DDED}">
  <dimension ref="A1:U1045"/>
  <sheetViews>
    <sheetView showRowColHeaders="0" workbookViewId="0">
      <selection activeCell="M10" sqref="M10"/>
    </sheetView>
  </sheetViews>
  <sheetFormatPr defaultRowHeight="14.4" x14ac:dyDescent="0.3"/>
  <cols>
    <col min="1" max="1" width="2.88671875" customWidth="1"/>
    <col min="2" max="2" width="10.5546875" bestFit="1" customWidth="1"/>
    <col min="3" max="3" width="9" bestFit="1" customWidth="1"/>
    <col min="4" max="4" width="18.6640625" bestFit="1" customWidth="1"/>
    <col min="5" max="5" width="14.21875" bestFit="1" customWidth="1"/>
    <col min="6" max="6" width="26.77734375" bestFit="1" customWidth="1"/>
    <col min="7" max="7" width="20" bestFit="1" customWidth="1"/>
    <col min="8" max="8" width="9.6640625" bestFit="1" customWidth="1"/>
    <col min="9" max="9" width="8.5546875" bestFit="1" customWidth="1"/>
    <col min="10" max="10" width="13.21875" bestFit="1" customWidth="1"/>
    <col min="11" max="11" width="7.88671875" bestFit="1" customWidth="1"/>
    <col min="12" max="12" width="13.44140625" bestFit="1" customWidth="1"/>
    <col min="13" max="13" width="17" bestFit="1" customWidth="1"/>
    <col min="14" max="14" width="10.5546875" bestFit="1" customWidth="1"/>
    <col min="15" max="15" width="7" bestFit="1" customWidth="1"/>
    <col min="16" max="16" width="6.5546875" bestFit="1" customWidth="1"/>
    <col min="17" max="17" width="8" bestFit="1" customWidth="1"/>
  </cols>
  <sheetData>
    <row r="1" spans="1:21" x14ac:dyDescent="0.3">
      <c r="A1" s="26"/>
      <c r="B1" s="26"/>
      <c r="C1" s="26"/>
      <c r="D1" s="26"/>
      <c r="E1" s="26"/>
      <c r="F1" s="26"/>
      <c r="G1" s="26"/>
      <c r="H1" s="26"/>
      <c r="I1" s="26"/>
      <c r="J1" s="26"/>
      <c r="K1" s="26"/>
      <c r="L1" s="26"/>
      <c r="M1" s="26"/>
      <c r="N1" s="26"/>
      <c r="O1" s="26"/>
      <c r="P1" s="26"/>
      <c r="Q1" s="26"/>
      <c r="R1" s="26"/>
      <c r="S1" s="26"/>
      <c r="T1" s="26"/>
      <c r="U1" s="26"/>
    </row>
    <row r="2" spans="1:21" x14ac:dyDescent="0.3">
      <c r="A2" s="26"/>
      <c r="B2" s="26"/>
      <c r="C2" s="26"/>
      <c r="D2" s="26"/>
      <c r="E2" s="26"/>
      <c r="F2" s="26"/>
      <c r="G2" s="26"/>
      <c r="H2" s="26"/>
      <c r="I2" s="26"/>
      <c r="J2" s="26"/>
      <c r="K2" s="26"/>
      <c r="L2" s="26"/>
      <c r="M2" s="26"/>
      <c r="N2" s="26"/>
      <c r="O2" s="26"/>
      <c r="P2" s="26"/>
      <c r="Q2" s="26"/>
      <c r="R2" s="26"/>
      <c r="S2" s="26"/>
      <c r="T2" s="26"/>
      <c r="U2" s="26"/>
    </row>
    <row r="3" spans="1:21" x14ac:dyDescent="0.3">
      <c r="A3" s="26"/>
      <c r="B3" s="26"/>
      <c r="C3" s="26"/>
      <c r="D3" s="26"/>
      <c r="E3" s="31"/>
      <c r="F3" s="31"/>
      <c r="G3" s="31"/>
      <c r="H3" s="31"/>
      <c r="I3" s="26"/>
      <c r="J3" s="26"/>
      <c r="K3" s="26"/>
      <c r="L3" s="26"/>
      <c r="M3" s="26"/>
      <c r="N3" s="26"/>
      <c r="O3" s="26"/>
      <c r="P3" s="26"/>
      <c r="Q3" s="26"/>
      <c r="R3" s="26"/>
      <c r="S3" s="26"/>
      <c r="T3" s="26"/>
      <c r="U3" s="26"/>
    </row>
    <row r="4" spans="1:21" x14ac:dyDescent="0.3">
      <c r="A4" s="26"/>
      <c r="B4" s="26"/>
      <c r="C4" s="26"/>
      <c r="D4" s="26"/>
      <c r="E4" s="32"/>
      <c r="F4" s="32"/>
      <c r="G4" s="32"/>
      <c r="H4" s="32"/>
      <c r="I4" s="26"/>
      <c r="J4" s="26"/>
      <c r="K4" s="26"/>
      <c r="L4" s="26"/>
      <c r="M4" s="26"/>
      <c r="N4" s="26"/>
      <c r="O4" s="26"/>
      <c r="P4" s="26"/>
      <c r="Q4" s="26"/>
      <c r="R4" s="26"/>
      <c r="S4" s="26"/>
      <c r="T4" s="26"/>
      <c r="U4" s="26"/>
    </row>
    <row r="5" spans="1:21" x14ac:dyDescent="0.3">
      <c r="A5" s="26"/>
      <c r="B5" s="27" t="s">
        <v>96</v>
      </c>
      <c r="C5" s="27" t="s">
        <v>97</v>
      </c>
      <c r="D5" s="27" t="s">
        <v>98</v>
      </c>
      <c r="E5" s="27" t="s">
        <v>99</v>
      </c>
      <c r="F5" s="27" t="s">
        <v>100</v>
      </c>
      <c r="G5" s="27" t="s">
        <v>101</v>
      </c>
      <c r="H5" s="27" t="s">
        <v>102</v>
      </c>
      <c r="I5" s="27" t="s">
        <v>1</v>
      </c>
      <c r="J5" s="27" t="s">
        <v>103</v>
      </c>
      <c r="K5" s="27" t="s">
        <v>104</v>
      </c>
      <c r="L5" s="27" t="s">
        <v>3</v>
      </c>
      <c r="M5" s="27" t="s">
        <v>105</v>
      </c>
      <c r="N5" s="27" t="s">
        <v>52</v>
      </c>
      <c r="O5" s="27" t="s">
        <v>106</v>
      </c>
      <c r="P5" s="27" t="s">
        <v>107</v>
      </c>
      <c r="Q5" s="27" t="s">
        <v>93</v>
      </c>
      <c r="R5" s="26"/>
      <c r="S5" s="26"/>
      <c r="T5" s="26"/>
      <c r="U5" s="26"/>
    </row>
    <row r="6" spans="1:21" x14ac:dyDescent="0.3">
      <c r="A6" s="26"/>
      <c r="B6" s="29">
        <v>45263</v>
      </c>
      <c r="C6" s="28" t="s">
        <v>11</v>
      </c>
      <c r="D6" s="28" t="s">
        <v>75</v>
      </c>
      <c r="E6" s="28" t="s">
        <v>47</v>
      </c>
      <c r="F6" s="28" t="s">
        <v>44</v>
      </c>
      <c r="G6" s="28" t="s">
        <v>31</v>
      </c>
      <c r="H6" s="28" t="s">
        <v>85</v>
      </c>
      <c r="I6" s="28">
        <v>4341.92</v>
      </c>
      <c r="J6" s="28">
        <v>7948</v>
      </c>
      <c r="K6" s="28">
        <v>208</v>
      </c>
      <c r="L6" s="28">
        <v>49</v>
      </c>
      <c r="M6" s="28">
        <v>0.24</v>
      </c>
      <c r="N6" s="28">
        <v>5957.79</v>
      </c>
      <c r="O6" s="28">
        <v>2.6200000000000001E-2</v>
      </c>
      <c r="P6" s="28">
        <v>20.87</v>
      </c>
      <c r="Q6" s="28">
        <v>0.37219999999999998</v>
      </c>
      <c r="R6" s="26"/>
      <c r="S6" s="26"/>
      <c r="T6" s="26"/>
      <c r="U6" s="26"/>
    </row>
    <row r="7" spans="1:21" x14ac:dyDescent="0.3">
      <c r="A7" s="26"/>
      <c r="B7" s="29">
        <v>45270</v>
      </c>
      <c r="C7" s="28" t="s">
        <v>13</v>
      </c>
      <c r="D7" s="28" t="s">
        <v>70</v>
      </c>
      <c r="E7" s="28" t="s">
        <v>49</v>
      </c>
      <c r="F7" s="28" t="s">
        <v>40</v>
      </c>
      <c r="G7" s="28" t="s">
        <v>33</v>
      </c>
      <c r="H7" s="28" t="s">
        <v>85</v>
      </c>
      <c r="I7" s="28">
        <v>3211.52</v>
      </c>
      <c r="J7" s="28">
        <v>7790</v>
      </c>
      <c r="K7" s="28">
        <v>886</v>
      </c>
      <c r="L7" s="28">
        <v>41</v>
      </c>
      <c r="M7" s="28">
        <v>0.05</v>
      </c>
      <c r="N7" s="28">
        <v>7313.16</v>
      </c>
      <c r="O7" s="28">
        <v>0.1137</v>
      </c>
      <c r="P7" s="28">
        <v>3.62</v>
      </c>
      <c r="Q7" s="28">
        <v>1.2771999999999999</v>
      </c>
      <c r="R7" s="26"/>
      <c r="S7" s="26"/>
      <c r="T7" s="26"/>
      <c r="U7" s="26"/>
    </row>
    <row r="8" spans="1:21" x14ac:dyDescent="0.3">
      <c r="A8" s="26"/>
      <c r="B8" s="29">
        <v>45277</v>
      </c>
      <c r="C8" s="28" t="s">
        <v>10</v>
      </c>
      <c r="D8" s="28" t="s">
        <v>65</v>
      </c>
      <c r="E8" s="28" t="s">
        <v>47</v>
      </c>
      <c r="F8" s="28" t="s">
        <v>45</v>
      </c>
      <c r="G8" s="28" t="s">
        <v>32</v>
      </c>
      <c r="H8" s="28" t="s">
        <v>85</v>
      </c>
      <c r="I8" s="28">
        <v>2828.02</v>
      </c>
      <c r="J8" s="28">
        <v>5429</v>
      </c>
      <c r="K8" s="28">
        <v>502</v>
      </c>
      <c r="L8" s="28">
        <v>17</v>
      </c>
      <c r="M8" s="28">
        <v>0.03</v>
      </c>
      <c r="N8" s="28">
        <v>5384.96</v>
      </c>
      <c r="O8" s="28">
        <v>9.2499999999999999E-2</v>
      </c>
      <c r="P8" s="28">
        <v>5.63</v>
      </c>
      <c r="Q8" s="28">
        <v>0.90410000000000001</v>
      </c>
      <c r="R8" s="26"/>
      <c r="S8" s="26"/>
      <c r="T8" s="26"/>
      <c r="U8" s="26"/>
    </row>
    <row r="9" spans="1:21" x14ac:dyDescent="0.3">
      <c r="A9" s="26"/>
      <c r="B9" s="29">
        <v>45284</v>
      </c>
      <c r="C9" s="28" t="s">
        <v>11</v>
      </c>
      <c r="D9" s="28" t="s">
        <v>83</v>
      </c>
      <c r="E9" s="28" t="s">
        <v>49</v>
      </c>
      <c r="F9" s="28" t="s">
        <v>39</v>
      </c>
      <c r="G9" s="28" t="s">
        <v>30</v>
      </c>
      <c r="H9" s="28" t="s">
        <v>87</v>
      </c>
      <c r="I9" s="28">
        <v>1730.76</v>
      </c>
      <c r="J9" s="28">
        <v>8184</v>
      </c>
      <c r="K9" s="28">
        <v>821</v>
      </c>
      <c r="L9" s="28">
        <v>33</v>
      </c>
      <c r="M9" s="28">
        <v>0.04</v>
      </c>
      <c r="N9" s="28">
        <v>7941.68</v>
      </c>
      <c r="O9" s="28">
        <v>0.1003</v>
      </c>
      <c r="P9" s="28">
        <v>2.11</v>
      </c>
      <c r="Q9" s="28">
        <v>3.5886</v>
      </c>
      <c r="R9" s="26"/>
      <c r="S9" s="26"/>
      <c r="T9" s="26"/>
      <c r="U9" s="26"/>
    </row>
    <row r="10" spans="1:21" x14ac:dyDescent="0.3">
      <c r="A10" s="26"/>
      <c r="B10" s="29">
        <v>45291</v>
      </c>
      <c r="C10" s="28" t="s">
        <v>12</v>
      </c>
      <c r="D10" s="28" t="s">
        <v>69</v>
      </c>
      <c r="E10" s="28" t="s">
        <v>47</v>
      </c>
      <c r="F10" s="28" t="s">
        <v>45</v>
      </c>
      <c r="G10" s="28" t="s">
        <v>30</v>
      </c>
      <c r="H10" s="28" t="s">
        <v>86</v>
      </c>
      <c r="I10" s="28">
        <v>4735.9399999999996</v>
      </c>
      <c r="J10" s="28">
        <v>5473</v>
      </c>
      <c r="K10" s="28">
        <v>761</v>
      </c>
      <c r="L10" s="28">
        <v>45</v>
      </c>
      <c r="M10" s="28">
        <v>0.06</v>
      </c>
      <c r="N10" s="28">
        <v>2492.35</v>
      </c>
      <c r="O10" s="28">
        <v>0.13900000000000001</v>
      </c>
      <c r="P10" s="28">
        <v>6.22</v>
      </c>
      <c r="Q10" s="28">
        <v>-0.47370000000000001</v>
      </c>
      <c r="R10" s="26"/>
      <c r="S10" s="26"/>
      <c r="T10" s="26"/>
      <c r="U10" s="26"/>
    </row>
    <row r="11" spans="1:21" x14ac:dyDescent="0.3">
      <c r="A11" s="26"/>
      <c r="B11" s="29">
        <v>45270</v>
      </c>
      <c r="C11" s="28" t="s">
        <v>13</v>
      </c>
      <c r="D11" s="28" t="s">
        <v>81</v>
      </c>
      <c r="E11" s="28" t="s">
        <v>48</v>
      </c>
      <c r="F11" s="28" t="s">
        <v>42</v>
      </c>
      <c r="G11" s="28" t="s">
        <v>30</v>
      </c>
      <c r="H11" s="28" t="s">
        <v>87</v>
      </c>
      <c r="I11" s="28">
        <v>1451.91</v>
      </c>
      <c r="J11" s="28">
        <v>3573</v>
      </c>
      <c r="K11" s="28">
        <v>592</v>
      </c>
      <c r="L11" s="28">
        <v>28</v>
      </c>
      <c r="M11" s="28">
        <v>0.05</v>
      </c>
      <c r="N11" s="28">
        <v>18330.96</v>
      </c>
      <c r="O11" s="28">
        <v>0.16569999999999999</v>
      </c>
      <c r="P11" s="28">
        <v>2.4500000000000002</v>
      </c>
      <c r="Q11" s="28">
        <v>11.625400000000001</v>
      </c>
      <c r="R11" s="26"/>
      <c r="S11" s="26"/>
      <c r="T11" s="26"/>
      <c r="U11" s="26"/>
    </row>
    <row r="12" spans="1:21" x14ac:dyDescent="0.3">
      <c r="A12" s="26"/>
      <c r="B12" s="29">
        <v>45277</v>
      </c>
      <c r="C12" s="28" t="s">
        <v>12</v>
      </c>
      <c r="D12" s="28" t="s">
        <v>73</v>
      </c>
      <c r="E12" s="28" t="s">
        <v>47</v>
      </c>
      <c r="F12" s="28" t="s">
        <v>40</v>
      </c>
      <c r="G12" s="28" t="s">
        <v>31</v>
      </c>
      <c r="H12" s="28" t="s">
        <v>87</v>
      </c>
      <c r="I12" s="28">
        <v>1339.96</v>
      </c>
      <c r="J12" s="28">
        <v>2205</v>
      </c>
      <c r="K12" s="28">
        <v>849</v>
      </c>
      <c r="L12" s="28">
        <v>16</v>
      </c>
      <c r="M12" s="28">
        <v>0.02</v>
      </c>
      <c r="N12" s="28">
        <v>8983.1200000000008</v>
      </c>
      <c r="O12" s="28">
        <v>0.38500000000000001</v>
      </c>
      <c r="P12" s="28">
        <v>1.58</v>
      </c>
      <c r="Q12" s="28">
        <v>5.7039999999999997</v>
      </c>
      <c r="R12" s="26"/>
      <c r="S12" s="26"/>
      <c r="T12" s="26"/>
      <c r="U12" s="26"/>
    </row>
    <row r="13" spans="1:21" x14ac:dyDescent="0.3">
      <c r="A13" s="26"/>
      <c r="B13" s="29">
        <v>45312</v>
      </c>
      <c r="C13" s="28" t="s">
        <v>12</v>
      </c>
      <c r="D13" s="28" t="s">
        <v>73</v>
      </c>
      <c r="E13" s="28" t="s">
        <v>47</v>
      </c>
      <c r="F13" s="28" t="s">
        <v>38</v>
      </c>
      <c r="G13" s="28" t="s">
        <v>30</v>
      </c>
      <c r="H13" s="28" t="s">
        <v>87</v>
      </c>
      <c r="I13" s="28">
        <v>2387.81</v>
      </c>
      <c r="J13" s="28">
        <v>4006</v>
      </c>
      <c r="K13" s="28">
        <v>928</v>
      </c>
      <c r="L13" s="28">
        <v>9</v>
      </c>
      <c r="M13" s="28">
        <v>0.01</v>
      </c>
      <c r="N13" s="28">
        <v>2618.35</v>
      </c>
      <c r="O13" s="28">
        <v>0.23169999999999999</v>
      </c>
      <c r="P13" s="28">
        <v>2.57</v>
      </c>
      <c r="Q13" s="28">
        <v>9.6500000000000002E-2</v>
      </c>
      <c r="R13" s="26"/>
      <c r="S13" s="26"/>
      <c r="T13" s="26"/>
      <c r="U13" s="26"/>
    </row>
    <row r="14" spans="1:21" x14ac:dyDescent="0.3">
      <c r="A14" s="26"/>
      <c r="B14" s="29">
        <v>45319</v>
      </c>
      <c r="C14" s="28" t="s">
        <v>12</v>
      </c>
      <c r="D14" s="28" t="s">
        <v>84</v>
      </c>
      <c r="E14" s="28" t="s">
        <v>48</v>
      </c>
      <c r="F14" s="28" t="s">
        <v>41</v>
      </c>
      <c r="G14" s="28" t="s">
        <v>32</v>
      </c>
      <c r="H14" s="28" t="s">
        <v>88</v>
      </c>
      <c r="I14" s="28">
        <v>2547.39</v>
      </c>
      <c r="J14" s="28">
        <v>2428</v>
      </c>
      <c r="K14" s="28">
        <v>514</v>
      </c>
      <c r="L14" s="28">
        <v>31</v>
      </c>
      <c r="M14" s="28">
        <v>0.06</v>
      </c>
      <c r="N14" s="28">
        <v>2195.2600000000002</v>
      </c>
      <c r="O14" s="28">
        <v>0.2117</v>
      </c>
      <c r="P14" s="28">
        <v>4.96</v>
      </c>
      <c r="Q14" s="28">
        <v>-0.13819999999999999</v>
      </c>
      <c r="R14" s="26"/>
      <c r="S14" s="26"/>
      <c r="T14" s="26"/>
      <c r="U14" s="26"/>
    </row>
    <row r="15" spans="1:21" x14ac:dyDescent="0.3">
      <c r="A15" s="26"/>
      <c r="B15" s="29">
        <v>45326</v>
      </c>
      <c r="C15" s="28" t="s">
        <v>11</v>
      </c>
      <c r="D15" s="28" t="s">
        <v>84</v>
      </c>
      <c r="E15" s="28" t="s">
        <v>48</v>
      </c>
      <c r="F15" s="28" t="s">
        <v>40</v>
      </c>
      <c r="G15" s="28" t="s">
        <v>31</v>
      </c>
      <c r="H15" s="28" t="s">
        <v>85</v>
      </c>
      <c r="I15" s="28">
        <v>3258.37</v>
      </c>
      <c r="J15" s="28">
        <v>6139</v>
      </c>
      <c r="K15" s="28">
        <v>843</v>
      </c>
      <c r="L15" s="28">
        <v>34</v>
      </c>
      <c r="M15" s="28">
        <v>0.04</v>
      </c>
      <c r="N15" s="28">
        <v>16217.39</v>
      </c>
      <c r="O15" s="28">
        <v>0.13730000000000001</v>
      </c>
      <c r="P15" s="28">
        <v>3.87</v>
      </c>
      <c r="Q15" s="28">
        <v>3.9771000000000001</v>
      </c>
      <c r="R15" s="26"/>
      <c r="S15" s="26"/>
      <c r="T15" s="26"/>
      <c r="U15" s="26"/>
    </row>
    <row r="16" spans="1:21" x14ac:dyDescent="0.3">
      <c r="A16" s="26"/>
      <c r="B16" s="29">
        <v>45333</v>
      </c>
      <c r="C16" s="28" t="s">
        <v>11</v>
      </c>
      <c r="D16" s="28" t="s">
        <v>69</v>
      </c>
      <c r="E16" s="28" t="s">
        <v>47</v>
      </c>
      <c r="F16" s="28" t="s">
        <v>41</v>
      </c>
      <c r="G16" s="28" t="s">
        <v>30</v>
      </c>
      <c r="H16" s="28" t="s">
        <v>86</v>
      </c>
      <c r="I16" s="28">
        <v>3091.34</v>
      </c>
      <c r="J16" s="28">
        <v>4665</v>
      </c>
      <c r="K16" s="28">
        <v>150</v>
      </c>
      <c r="L16" s="28">
        <v>37</v>
      </c>
      <c r="M16" s="28">
        <v>0.25</v>
      </c>
      <c r="N16" s="28">
        <v>18223.16</v>
      </c>
      <c r="O16" s="28">
        <v>3.2199999999999999E-2</v>
      </c>
      <c r="P16" s="28">
        <v>20.61</v>
      </c>
      <c r="Q16" s="28">
        <v>4.8948999999999998</v>
      </c>
      <c r="R16" s="26"/>
      <c r="S16" s="26"/>
      <c r="T16" s="26"/>
      <c r="U16" s="26"/>
    </row>
    <row r="17" spans="1:21" x14ac:dyDescent="0.3">
      <c r="A17" s="26"/>
      <c r="B17" s="29">
        <v>45340</v>
      </c>
      <c r="C17" s="28" t="s">
        <v>12</v>
      </c>
      <c r="D17" s="28" t="s">
        <v>70</v>
      </c>
      <c r="E17" s="28" t="s">
        <v>49</v>
      </c>
      <c r="F17" s="28" t="s">
        <v>41</v>
      </c>
      <c r="G17" s="28" t="s">
        <v>33</v>
      </c>
      <c r="H17" s="28" t="s">
        <v>88</v>
      </c>
      <c r="I17" s="28">
        <v>1761.01</v>
      </c>
      <c r="J17" s="28">
        <v>5688</v>
      </c>
      <c r="K17" s="28">
        <v>315</v>
      </c>
      <c r="L17" s="28">
        <v>21</v>
      </c>
      <c r="M17" s="28">
        <v>7.0000000000000007E-2</v>
      </c>
      <c r="N17" s="28">
        <v>15528.62</v>
      </c>
      <c r="O17" s="28">
        <v>5.5399999999999998E-2</v>
      </c>
      <c r="P17" s="28">
        <v>5.59</v>
      </c>
      <c r="Q17" s="28">
        <v>7.8179999999999996</v>
      </c>
      <c r="R17" s="26"/>
      <c r="S17" s="26"/>
      <c r="T17" s="26"/>
      <c r="U17" s="26"/>
    </row>
    <row r="18" spans="1:21" x14ac:dyDescent="0.3">
      <c r="A18" s="26"/>
      <c r="B18" s="29">
        <v>45347</v>
      </c>
      <c r="C18" s="28" t="s">
        <v>12</v>
      </c>
      <c r="D18" s="28" t="s">
        <v>77</v>
      </c>
      <c r="E18" s="28" t="s">
        <v>49</v>
      </c>
      <c r="F18" s="28" t="s">
        <v>41</v>
      </c>
      <c r="G18" s="28" t="s">
        <v>33</v>
      </c>
      <c r="H18" s="28" t="s">
        <v>88</v>
      </c>
      <c r="I18" s="28">
        <v>2712.51</v>
      </c>
      <c r="J18" s="28">
        <v>9938</v>
      </c>
      <c r="K18" s="28">
        <v>859</v>
      </c>
      <c r="L18" s="28">
        <v>2</v>
      </c>
      <c r="M18" s="28">
        <v>0</v>
      </c>
      <c r="N18" s="28">
        <v>4735.08</v>
      </c>
      <c r="O18" s="28">
        <v>8.6400000000000005E-2</v>
      </c>
      <c r="P18" s="28">
        <v>3.16</v>
      </c>
      <c r="Q18" s="28">
        <v>0.74560000000000004</v>
      </c>
      <c r="R18" s="26"/>
      <c r="S18" s="26"/>
      <c r="T18" s="26"/>
      <c r="U18" s="26"/>
    </row>
    <row r="19" spans="1:21" x14ac:dyDescent="0.3">
      <c r="A19" s="26"/>
      <c r="B19" s="29">
        <v>45354</v>
      </c>
      <c r="C19" s="28" t="s">
        <v>12</v>
      </c>
      <c r="D19" s="28" t="s">
        <v>78</v>
      </c>
      <c r="E19" s="28" t="s">
        <v>48</v>
      </c>
      <c r="F19" s="28" t="s">
        <v>40</v>
      </c>
      <c r="G19" s="28" t="s">
        <v>33</v>
      </c>
      <c r="H19" s="28" t="s">
        <v>85</v>
      </c>
      <c r="I19" s="28">
        <v>1054.71</v>
      </c>
      <c r="J19" s="28">
        <v>7302</v>
      </c>
      <c r="K19" s="28">
        <v>670</v>
      </c>
      <c r="L19" s="28">
        <v>28</v>
      </c>
      <c r="M19" s="28">
        <v>0.04</v>
      </c>
      <c r="N19" s="28">
        <v>15020.08</v>
      </c>
      <c r="O19" s="28">
        <v>9.1800000000000007E-2</v>
      </c>
      <c r="P19" s="28">
        <v>1.57</v>
      </c>
      <c r="Q19" s="28">
        <v>13.241</v>
      </c>
      <c r="R19" s="26"/>
      <c r="S19" s="26"/>
      <c r="T19" s="26"/>
      <c r="U19" s="26"/>
    </row>
    <row r="20" spans="1:21" x14ac:dyDescent="0.3">
      <c r="A20" s="26"/>
      <c r="B20" s="29">
        <v>45361</v>
      </c>
      <c r="C20" s="28" t="s">
        <v>12</v>
      </c>
      <c r="D20" s="28" t="s">
        <v>75</v>
      </c>
      <c r="E20" s="28" t="s">
        <v>47</v>
      </c>
      <c r="F20" s="28" t="s">
        <v>38</v>
      </c>
      <c r="G20" s="28" t="s">
        <v>33</v>
      </c>
      <c r="H20" s="28" t="s">
        <v>87</v>
      </c>
      <c r="I20" s="28">
        <v>4080.86</v>
      </c>
      <c r="J20" s="28">
        <v>3958</v>
      </c>
      <c r="K20" s="28">
        <v>336</v>
      </c>
      <c r="L20" s="28">
        <v>20</v>
      </c>
      <c r="M20" s="28">
        <v>0.06</v>
      </c>
      <c r="N20" s="28">
        <v>16097.73</v>
      </c>
      <c r="O20" s="28">
        <v>8.4900000000000003E-2</v>
      </c>
      <c r="P20" s="28">
        <v>12.15</v>
      </c>
      <c r="Q20" s="28">
        <v>2.9447000000000001</v>
      </c>
      <c r="R20" s="26"/>
      <c r="S20" s="26"/>
      <c r="T20" s="26"/>
      <c r="U20" s="26"/>
    </row>
    <row r="21" spans="1:21" x14ac:dyDescent="0.3">
      <c r="A21" s="26"/>
      <c r="B21" s="29">
        <v>45368</v>
      </c>
      <c r="C21" s="28" t="s">
        <v>12</v>
      </c>
      <c r="D21" s="28" t="s">
        <v>83</v>
      </c>
      <c r="E21" s="28" t="s">
        <v>49</v>
      </c>
      <c r="F21" s="28" t="s">
        <v>41</v>
      </c>
      <c r="G21" s="28" t="s">
        <v>30</v>
      </c>
      <c r="H21" s="28" t="s">
        <v>87</v>
      </c>
      <c r="I21" s="28">
        <v>560.38</v>
      </c>
      <c r="J21" s="28">
        <v>9916</v>
      </c>
      <c r="K21" s="28">
        <v>916</v>
      </c>
      <c r="L21" s="28">
        <v>50</v>
      </c>
      <c r="M21" s="28">
        <v>0.05</v>
      </c>
      <c r="N21" s="28">
        <v>9119.65</v>
      </c>
      <c r="O21" s="28">
        <v>9.2399999999999996E-2</v>
      </c>
      <c r="P21" s="28">
        <v>0.61</v>
      </c>
      <c r="Q21" s="28">
        <v>15.273999999999999</v>
      </c>
      <c r="R21" s="26"/>
      <c r="S21" s="26"/>
      <c r="T21" s="26"/>
      <c r="U21" s="26"/>
    </row>
    <row r="22" spans="1:21" x14ac:dyDescent="0.3">
      <c r="A22" s="26"/>
      <c r="B22" s="29">
        <v>45375</v>
      </c>
      <c r="C22" s="28" t="s">
        <v>11</v>
      </c>
      <c r="D22" s="28" t="s">
        <v>77</v>
      </c>
      <c r="E22" s="28" t="s">
        <v>49</v>
      </c>
      <c r="F22" s="28" t="s">
        <v>43</v>
      </c>
      <c r="G22" s="28" t="s">
        <v>31</v>
      </c>
      <c r="H22" s="28" t="s">
        <v>86</v>
      </c>
      <c r="I22" s="28">
        <v>4938.96</v>
      </c>
      <c r="J22" s="28">
        <v>7697</v>
      </c>
      <c r="K22" s="28">
        <v>224</v>
      </c>
      <c r="L22" s="28">
        <v>4</v>
      </c>
      <c r="M22" s="28">
        <v>0.02</v>
      </c>
      <c r="N22" s="28">
        <v>8729.93</v>
      </c>
      <c r="O22" s="28">
        <v>2.9100000000000001E-2</v>
      </c>
      <c r="P22" s="28">
        <v>22.05</v>
      </c>
      <c r="Q22" s="28">
        <v>0.76759999999999995</v>
      </c>
      <c r="R22" s="26"/>
      <c r="S22" s="26"/>
      <c r="T22" s="26"/>
      <c r="U22" s="26"/>
    </row>
    <row r="23" spans="1:21" x14ac:dyDescent="0.3">
      <c r="A23" s="26"/>
      <c r="B23" s="29">
        <v>45382</v>
      </c>
      <c r="C23" s="28" t="s">
        <v>11</v>
      </c>
      <c r="D23" s="28" t="s">
        <v>74</v>
      </c>
      <c r="E23" s="28" t="s">
        <v>49</v>
      </c>
      <c r="F23" s="28" t="s">
        <v>41</v>
      </c>
      <c r="G23" s="28" t="s">
        <v>33</v>
      </c>
      <c r="H23" s="28" t="s">
        <v>85</v>
      </c>
      <c r="I23" s="28">
        <v>2740.13</v>
      </c>
      <c r="J23" s="28">
        <v>1400</v>
      </c>
      <c r="K23" s="28">
        <v>384</v>
      </c>
      <c r="L23" s="28">
        <v>19</v>
      </c>
      <c r="M23" s="28">
        <v>0.05</v>
      </c>
      <c r="N23" s="28">
        <v>15481.38</v>
      </c>
      <c r="O23" s="28">
        <v>0.27429999999999999</v>
      </c>
      <c r="P23" s="28">
        <v>7.14</v>
      </c>
      <c r="Q23" s="28">
        <v>4.6498999999999997</v>
      </c>
      <c r="R23" s="26"/>
      <c r="S23" s="26"/>
      <c r="T23" s="26"/>
      <c r="U23" s="26"/>
    </row>
    <row r="24" spans="1:21" x14ac:dyDescent="0.3">
      <c r="A24" s="26"/>
      <c r="B24" s="29">
        <v>45389</v>
      </c>
      <c r="C24" s="28" t="s">
        <v>11</v>
      </c>
      <c r="D24" s="28" t="s">
        <v>80</v>
      </c>
      <c r="E24" s="28" t="s">
        <v>48</v>
      </c>
      <c r="F24" s="28" t="s">
        <v>41</v>
      </c>
      <c r="G24" s="28" t="s">
        <v>31</v>
      </c>
      <c r="H24" s="28" t="s">
        <v>85</v>
      </c>
      <c r="I24" s="28">
        <v>2876.66</v>
      </c>
      <c r="J24" s="28">
        <v>1162</v>
      </c>
      <c r="K24" s="28">
        <v>939</v>
      </c>
      <c r="L24" s="28">
        <v>16</v>
      </c>
      <c r="M24" s="28">
        <v>0.02</v>
      </c>
      <c r="N24" s="28">
        <v>8230.09</v>
      </c>
      <c r="O24" s="28">
        <v>0.80810000000000004</v>
      </c>
      <c r="P24" s="28">
        <v>3.06</v>
      </c>
      <c r="Q24" s="28">
        <v>1.861</v>
      </c>
      <c r="R24" s="26"/>
      <c r="S24" s="26"/>
      <c r="T24" s="26"/>
      <c r="U24" s="26"/>
    </row>
    <row r="25" spans="1:21" x14ac:dyDescent="0.3">
      <c r="A25" s="26"/>
      <c r="B25" s="29">
        <v>45396</v>
      </c>
      <c r="C25" s="28" t="s">
        <v>11</v>
      </c>
      <c r="D25" s="28" t="s">
        <v>81</v>
      </c>
      <c r="E25" s="28" t="s">
        <v>48</v>
      </c>
      <c r="F25" s="28" t="s">
        <v>40</v>
      </c>
      <c r="G25" s="28" t="s">
        <v>32</v>
      </c>
      <c r="H25" s="28" t="s">
        <v>85</v>
      </c>
      <c r="I25" s="28">
        <v>4378.21</v>
      </c>
      <c r="J25" s="28">
        <v>1137</v>
      </c>
      <c r="K25" s="28">
        <v>941</v>
      </c>
      <c r="L25" s="28">
        <v>35</v>
      </c>
      <c r="M25" s="28">
        <v>0.04</v>
      </c>
      <c r="N25" s="28">
        <v>5826.28</v>
      </c>
      <c r="O25" s="28">
        <v>0.8276</v>
      </c>
      <c r="P25" s="28">
        <v>4.6500000000000004</v>
      </c>
      <c r="Q25" s="28">
        <v>0.33069999999999999</v>
      </c>
      <c r="R25" s="26"/>
      <c r="S25" s="26"/>
      <c r="T25" s="26"/>
      <c r="U25" s="26"/>
    </row>
    <row r="26" spans="1:21" x14ac:dyDescent="0.3">
      <c r="A26" s="26"/>
      <c r="B26" s="29">
        <v>45403</v>
      </c>
      <c r="C26" s="28" t="s">
        <v>10</v>
      </c>
      <c r="D26" s="28" t="s">
        <v>82</v>
      </c>
      <c r="E26" s="28" t="s">
        <v>47</v>
      </c>
      <c r="F26" s="28" t="s">
        <v>37</v>
      </c>
      <c r="G26" s="28" t="s">
        <v>33</v>
      </c>
      <c r="H26" s="28" t="s">
        <v>85</v>
      </c>
      <c r="I26" s="28">
        <v>4941.79</v>
      </c>
      <c r="J26" s="28">
        <v>7902</v>
      </c>
      <c r="K26" s="28">
        <v>141</v>
      </c>
      <c r="L26" s="28">
        <v>38</v>
      </c>
      <c r="M26" s="28">
        <v>0.27</v>
      </c>
      <c r="N26" s="28">
        <v>13406.82</v>
      </c>
      <c r="O26" s="28">
        <v>1.78E-2</v>
      </c>
      <c r="P26" s="28">
        <v>35.049999999999997</v>
      </c>
      <c r="Q26" s="28">
        <v>1.7129000000000001</v>
      </c>
      <c r="R26" s="26"/>
      <c r="S26" s="26"/>
      <c r="T26" s="26"/>
      <c r="U26" s="26"/>
    </row>
    <row r="27" spans="1:21" x14ac:dyDescent="0.3">
      <c r="A27" s="26"/>
      <c r="B27" s="29">
        <v>45410</v>
      </c>
      <c r="C27" s="28" t="s">
        <v>12</v>
      </c>
      <c r="D27" s="28" t="s">
        <v>76</v>
      </c>
      <c r="E27" s="28" t="s">
        <v>49</v>
      </c>
      <c r="F27" s="28" t="s">
        <v>41</v>
      </c>
      <c r="G27" s="28" t="s">
        <v>31</v>
      </c>
      <c r="H27" s="28" t="s">
        <v>85</v>
      </c>
      <c r="I27" s="28">
        <v>1376.02</v>
      </c>
      <c r="J27" s="28">
        <v>4872</v>
      </c>
      <c r="K27" s="28">
        <v>922</v>
      </c>
      <c r="L27" s="28">
        <v>40</v>
      </c>
      <c r="M27" s="28">
        <v>0.04</v>
      </c>
      <c r="N27" s="28">
        <v>6238.04</v>
      </c>
      <c r="O27" s="28">
        <v>0.18920000000000001</v>
      </c>
      <c r="P27" s="28">
        <v>1.49</v>
      </c>
      <c r="Q27" s="28">
        <v>3.5333999999999999</v>
      </c>
      <c r="R27" s="26"/>
      <c r="S27" s="26"/>
      <c r="T27" s="26"/>
      <c r="U27" s="26"/>
    </row>
    <row r="28" spans="1:21" x14ac:dyDescent="0.3">
      <c r="A28" s="26"/>
      <c r="B28" s="29">
        <v>45417</v>
      </c>
      <c r="C28" s="28" t="s">
        <v>12</v>
      </c>
      <c r="D28" s="28" t="s">
        <v>82</v>
      </c>
      <c r="E28" s="28" t="s">
        <v>47</v>
      </c>
      <c r="F28" s="28" t="s">
        <v>41</v>
      </c>
      <c r="G28" s="28" t="s">
        <v>30</v>
      </c>
      <c r="H28" s="28" t="s">
        <v>87</v>
      </c>
      <c r="I28" s="28">
        <v>3324.53</v>
      </c>
      <c r="J28" s="28">
        <v>7993</v>
      </c>
      <c r="K28" s="28">
        <v>377</v>
      </c>
      <c r="L28" s="28">
        <v>42</v>
      </c>
      <c r="M28" s="28">
        <v>0.11</v>
      </c>
      <c r="N28" s="28">
        <v>8491.86</v>
      </c>
      <c r="O28" s="28">
        <v>4.7199999999999999E-2</v>
      </c>
      <c r="P28" s="28">
        <v>8.82</v>
      </c>
      <c r="Q28" s="28">
        <v>1.5543</v>
      </c>
      <c r="R28" s="26"/>
      <c r="S28" s="26"/>
      <c r="T28" s="26"/>
      <c r="U28" s="26"/>
    </row>
    <row r="29" spans="1:21" x14ac:dyDescent="0.3">
      <c r="A29" s="26"/>
      <c r="B29" s="29">
        <v>45424</v>
      </c>
      <c r="C29" s="28" t="s">
        <v>12</v>
      </c>
      <c r="D29" s="28" t="s">
        <v>83</v>
      </c>
      <c r="E29" s="28" t="s">
        <v>49</v>
      </c>
      <c r="F29" s="28" t="s">
        <v>39</v>
      </c>
      <c r="G29" s="28" t="s">
        <v>32</v>
      </c>
      <c r="H29" s="28" t="s">
        <v>85</v>
      </c>
      <c r="I29" s="28">
        <v>2318.27</v>
      </c>
      <c r="J29" s="28">
        <v>3481</v>
      </c>
      <c r="K29" s="28">
        <v>688</v>
      </c>
      <c r="L29" s="28">
        <v>26</v>
      </c>
      <c r="M29" s="28">
        <v>0.04</v>
      </c>
      <c r="N29" s="28">
        <v>2667.33</v>
      </c>
      <c r="O29" s="28">
        <v>0.1976</v>
      </c>
      <c r="P29" s="28">
        <v>3.37</v>
      </c>
      <c r="Q29" s="28">
        <v>0.15060000000000001</v>
      </c>
      <c r="R29" s="26"/>
      <c r="S29" s="26"/>
      <c r="T29" s="26"/>
      <c r="U29" s="26"/>
    </row>
    <row r="30" spans="1:21" x14ac:dyDescent="0.3">
      <c r="A30" s="26"/>
      <c r="B30" s="29">
        <v>45431</v>
      </c>
      <c r="C30" s="28" t="s">
        <v>12</v>
      </c>
      <c r="D30" s="28" t="s">
        <v>84</v>
      </c>
      <c r="E30" s="28" t="s">
        <v>48</v>
      </c>
      <c r="F30" s="28" t="s">
        <v>44</v>
      </c>
      <c r="G30" s="28" t="s">
        <v>33</v>
      </c>
      <c r="H30" s="28" t="s">
        <v>88</v>
      </c>
      <c r="I30" s="28">
        <v>2417.89</v>
      </c>
      <c r="J30" s="28">
        <v>8982</v>
      </c>
      <c r="K30" s="28">
        <v>282</v>
      </c>
      <c r="L30" s="28">
        <v>29</v>
      </c>
      <c r="M30" s="28">
        <v>0.1</v>
      </c>
      <c r="N30" s="28">
        <v>10829.6</v>
      </c>
      <c r="O30" s="28">
        <v>3.1399999999999997E-2</v>
      </c>
      <c r="P30" s="28">
        <v>8.57</v>
      </c>
      <c r="Q30" s="28">
        <v>3.4788999999999999</v>
      </c>
      <c r="R30" s="26"/>
      <c r="S30" s="26"/>
      <c r="T30" s="26"/>
      <c r="U30" s="26"/>
    </row>
    <row r="31" spans="1:21" x14ac:dyDescent="0.3">
      <c r="A31" s="26"/>
      <c r="B31" s="29">
        <v>45438</v>
      </c>
      <c r="C31" s="28" t="s">
        <v>13</v>
      </c>
      <c r="D31" s="28" t="s">
        <v>84</v>
      </c>
      <c r="E31" s="28" t="s">
        <v>48</v>
      </c>
      <c r="F31" s="28" t="s">
        <v>41</v>
      </c>
      <c r="G31" s="28" t="s">
        <v>31</v>
      </c>
      <c r="H31" s="28" t="s">
        <v>87</v>
      </c>
      <c r="I31" s="28">
        <v>610.83000000000004</v>
      </c>
      <c r="J31" s="28">
        <v>5841</v>
      </c>
      <c r="K31" s="28">
        <v>357</v>
      </c>
      <c r="L31" s="28">
        <v>45</v>
      </c>
      <c r="M31" s="28">
        <v>0.13</v>
      </c>
      <c r="N31" s="28">
        <v>1134.52</v>
      </c>
      <c r="O31" s="28">
        <v>6.1100000000000002E-2</v>
      </c>
      <c r="P31" s="28">
        <v>1.71</v>
      </c>
      <c r="Q31" s="28">
        <v>0.85729999999999995</v>
      </c>
      <c r="R31" s="26"/>
      <c r="S31" s="26"/>
      <c r="T31" s="26"/>
      <c r="U31" s="26"/>
    </row>
    <row r="32" spans="1:21" x14ac:dyDescent="0.3">
      <c r="A32" s="26"/>
      <c r="B32" s="29">
        <v>45445</v>
      </c>
      <c r="C32" s="28" t="s">
        <v>12</v>
      </c>
      <c r="D32" s="28" t="s">
        <v>79</v>
      </c>
      <c r="E32" s="28" t="s">
        <v>47</v>
      </c>
      <c r="F32" s="28" t="s">
        <v>44</v>
      </c>
      <c r="G32" s="28" t="s">
        <v>31</v>
      </c>
      <c r="H32" s="28" t="s">
        <v>86</v>
      </c>
      <c r="I32" s="28">
        <v>1203.33</v>
      </c>
      <c r="J32" s="28">
        <v>5425</v>
      </c>
      <c r="K32" s="28">
        <v>764</v>
      </c>
      <c r="L32" s="28">
        <v>36</v>
      </c>
      <c r="M32" s="28">
        <v>0.05</v>
      </c>
      <c r="N32" s="28">
        <v>2873.42</v>
      </c>
      <c r="O32" s="28">
        <v>0.14080000000000001</v>
      </c>
      <c r="P32" s="28">
        <v>1.58</v>
      </c>
      <c r="Q32" s="28">
        <v>1.3878999999999999</v>
      </c>
      <c r="R32" s="26"/>
      <c r="S32" s="26"/>
      <c r="T32" s="26"/>
      <c r="U32" s="26"/>
    </row>
    <row r="33" spans="1:21" x14ac:dyDescent="0.3">
      <c r="A33" s="26"/>
      <c r="B33" s="29">
        <v>45452</v>
      </c>
      <c r="C33" s="28" t="s">
        <v>12</v>
      </c>
      <c r="D33" s="28" t="s">
        <v>71</v>
      </c>
      <c r="E33" s="28" t="s">
        <v>48</v>
      </c>
      <c r="F33" s="28" t="s">
        <v>41</v>
      </c>
      <c r="G33" s="28" t="s">
        <v>31</v>
      </c>
      <c r="H33" s="28" t="s">
        <v>85</v>
      </c>
      <c r="I33" s="28">
        <v>1532.29</v>
      </c>
      <c r="J33" s="28">
        <v>8742</v>
      </c>
      <c r="K33" s="28">
        <v>635</v>
      </c>
      <c r="L33" s="28">
        <v>20</v>
      </c>
      <c r="M33" s="28">
        <v>0.03</v>
      </c>
      <c r="N33" s="28">
        <v>5409.03</v>
      </c>
      <c r="O33" s="28">
        <v>7.2599999999999998E-2</v>
      </c>
      <c r="P33" s="28">
        <v>2.41</v>
      </c>
      <c r="Q33" s="28">
        <v>2.5299999999999998</v>
      </c>
      <c r="R33" s="26"/>
      <c r="S33" s="26"/>
      <c r="T33" s="26"/>
      <c r="U33" s="26"/>
    </row>
    <row r="34" spans="1:21" x14ac:dyDescent="0.3">
      <c r="A34" s="26"/>
      <c r="B34" s="29">
        <v>45459</v>
      </c>
      <c r="C34" s="28" t="s">
        <v>12</v>
      </c>
      <c r="D34" s="28" t="s">
        <v>71</v>
      </c>
      <c r="E34" s="28" t="s">
        <v>48</v>
      </c>
      <c r="F34" s="28" t="s">
        <v>41</v>
      </c>
      <c r="G34" s="28" t="s">
        <v>31</v>
      </c>
      <c r="H34" s="28" t="s">
        <v>85</v>
      </c>
      <c r="I34" s="28">
        <v>3114.54</v>
      </c>
      <c r="J34" s="28">
        <v>7818</v>
      </c>
      <c r="K34" s="28">
        <v>441</v>
      </c>
      <c r="L34" s="28">
        <v>39</v>
      </c>
      <c r="M34" s="28">
        <v>0.09</v>
      </c>
      <c r="N34" s="28">
        <v>7945.99</v>
      </c>
      <c r="O34" s="28">
        <v>5.6399999999999999E-2</v>
      </c>
      <c r="P34" s="28">
        <v>7.06</v>
      </c>
      <c r="Q34" s="28">
        <v>1.5512999999999999</v>
      </c>
      <c r="R34" s="26"/>
      <c r="S34" s="26"/>
      <c r="T34" s="26"/>
      <c r="U34" s="26"/>
    </row>
    <row r="35" spans="1:21" x14ac:dyDescent="0.3">
      <c r="A35" s="26"/>
      <c r="B35" s="29">
        <v>45466</v>
      </c>
      <c r="C35" s="28" t="s">
        <v>10</v>
      </c>
      <c r="D35" s="28" t="s">
        <v>70</v>
      </c>
      <c r="E35" s="28" t="s">
        <v>49</v>
      </c>
      <c r="F35" s="28" t="s">
        <v>45</v>
      </c>
      <c r="G35" s="28" t="s">
        <v>32</v>
      </c>
      <c r="H35" s="28" t="s">
        <v>85</v>
      </c>
      <c r="I35" s="28">
        <v>1321.6</v>
      </c>
      <c r="J35" s="28">
        <v>1888</v>
      </c>
      <c r="K35" s="28">
        <v>203</v>
      </c>
      <c r="L35" s="28">
        <v>41</v>
      </c>
      <c r="M35" s="28">
        <v>0.2</v>
      </c>
      <c r="N35" s="28">
        <v>5218.2700000000004</v>
      </c>
      <c r="O35" s="28">
        <v>0.1075</v>
      </c>
      <c r="P35" s="28">
        <v>6.51</v>
      </c>
      <c r="Q35" s="28">
        <v>2.9483999999999999</v>
      </c>
      <c r="R35" s="26"/>
      <c r="S35" s="26"/>
      <c r="T35" s="26"/>
      <c r="U35" s="26"/>
    </row>
    <row r="36" spans="1:21" x14ac:dyDescent="0.3">
      <c r="A36" s="26"/>
      <c r="B36" s="29">
        <v>45473</v>
      </c>
      <c r="C36" s="28" t="s">
        <v>10</v>
      </c>
      <c r="D36" s="28" t="s">
        <v>79</v>
      </c>
      <c r="E36" s="28" t="s">
        <v>47</v>
      </c>
      <c r="F36" s="28" t="s">
        <v>41</v>
      </c>
      <c r="G36" s="28" t="s">
        <v>30</v>
      </c>
      <c r="H36" s="28" t="s">
        <v>88</v>
      </c>
      <c r="I36" s="28">
        <v>2383.64</v>
      </c>
      <c r="J36" s="28">
        <v>3052</v>
      </c>
      <c r="K36" s="28">
        <v>287</v>
      </c>
      <c r="L36" s="28">
        <v>36</v>
      </c>
      <c r="M36" s="28">
        <v>0.13</v>
      </c>
      <c r="N36" s="28">
        <v>3515.7</v>
      </c>
      <c r="O36" s="28">
        <v>9.4E-2</v>
      </c>
      <c r="P36" s="28">
        <v>8.31</v>
      </c>
      <c r="Q36" s="28">
        <v>0.47489999999999999</v>
      </c>
      <c r="R36" s="26"/>
      <c r="S36" s="26"/>
      <c r="T36" s="26"/>
      <c r="U36" s="26"/>
    </row>
    <row r="37" spans="1:21" x14ac:dyDescent="0.3">
      <c r="A37" s="26"/>
      <c r="B37" s="29">
        <v>45480</v>
      </c>
      <c r="C37" s="28" t="s">
        <v>12</v>
      </c>
      <c r="D37" s="28" t="s">
        <v>69</v>
      </c>
      <c r="E37" s="28" t="s">
        <v>47</v>
      </c>
      <c r="F37" s="28" t="s">
        <v>42</v>
      </c>
      <c r="G37" s="28" t="s">
        <v>31</v>
      </c>
      <c r="H37" s="28" t="s">
        <v>88</v>
      </c>
      <c r="I37" s="28">
        <v>4165.55</v>
      </c>
      <c r="J37" s="28">
        <v>5640</v>
      </c>
      <c r="K37" s="28">
        <v>532</v>
      </c>
      <c r="L37" s="28">
        <v>22</v>
      </c>
      <c r="M37" s="28">
        <v>0.04</v>
      </c>
      <c r="N37" s="28">
        <v>8609.61</v>
      </c>
      <c r="O37" s="28">
        <v>9.4299999999999995E-2</v>
      </c>
      <c r="P37" s="28">
        <v>7.83</v>
      </c>
      <c r="Q37" s="28">
        <v>1.0669</v>
      </c>
      <c r="R37" s="26"/>
      <c r="S37" s="26"/>
      <c r="T37" s="26"/>
      <c r="U37" s="26"/>
    </row>
    <row r="38" spans="1:21" x14ac:dyDescent="0.3">
      <c r="A38" s="26"/>
      <c r="B38" s="29">
        <v>45487</v>
      </c>
      <c r="C38" s="28" t="s">
        <v>11</v>
      </c>
      <c r="D38" s="28" t="s">
        <v>65</v>
      </c>
      <c r="E38" s="28" t="s">
        <v>47</v>
      </c>
      <c r="F38" s="28" t="s">
        <v>45</v>
      </c>
      <c r="G38" s="28" t="s">
        <v>32</v>
      </c>
      <c r="H38" s="28" t="s">
        <v>88</v>
      </c>
      <c r="I38" s="28">
        <v>3637.12</v>
      </c>
      <c r="J38" s="28">
        <v>7365</v>
      </c>
      <c r="K38" s="28">
        <v>709</v>
      </c>
      <c r="L38" s="28">
        <v>12</v>
      </c>
      <c r="M38" s="28">
        <v>0.02</v>
      </c>
      <c r="N38" s="28">
        <v>9941.1200000000008</v>
      </c>
      <c r="O38" s="28">
        <v>9.6299999999999997E-2</v>
      </c>
      <c r="P38" s="28">
        <v>5.13</v>
      </c>
      <c r="Q38" s="28">
        <v>1.7332000000000001</v>
      </c>
      <c r="R38" s="26"/>
      <c r="S38" s="26"/>
      <c r="T38" s="26"/>
      <c r="U38" s="26"/>
    </row>
    <row r="39" spans="1:21" x14ac:dyDescent="0.3">
      <c r="A39" s="26"/>
      <c r="B39" s="29">
        <v>45494</v>
      </c>
      <c r="C39" s="28" t="s">
        <v>11</v>
      </c>
      <c r="D39" s="28" t="s">
        <v>73</v>
      </c>
      <c r="E39" s="28" t="s">
        <v>47</v>
      </c>
      <c r="F39" s="28" t="s">
        <v>45</v>
      </c>
      <c r="G39" s="28" t="s">
        <v>33</v>
      </c>
      <c r="H39" s="28" t="s">
        <v>88</v>
      </c>
      <c r="I39" s="28">
        <v>4462.95</v>
      </c>
      <c r="J39" s="28">
        <v>6323</v>
      </c>
      <c r="K39" s="28">
        <v>504</v>
      </c>
      <c r="L39" s="28">
        <v>25</v>
      </c>
      <c r="M39" s="28">
        <v>0.05</v>
      </c>
      <c r="N39" s="28">
        <v>15075.84</v>
      </c>
      <c r="O39" s="28">
        <v>7.9699999999999993E-2</v>
      </c>
      <c r="P39" s="28">
        <v>8.86</v>
      </c>
      <c r="Q39" s="28">
        <v>2.3780000000000001</v>
      </c>
      <c r="R39" s="26"/>
      <c r="S39" s="26"/>
      <c r="T39" s="26"/>
      <c r="U39" s="26"/>
    </row>
    <row r="40" spans="1:21" x14ac:dyDescent="0.3">
      <c r="A40" s="26"/>
      <c r="B40" s="29">
        <v>45501</v>
      </c>
      <c r="C40" s="28" t="s">
        <v>12</v>
      </c>
      <c r="D40" s="28" t="s">
        <v>72</v>
      </c>
      <c r="E40" s="28" t="s">
        <v>47</v>
      </c>
      <c r="F40" s="28" t="s">
        <v>45</v>
      </c>
      <c r="G40" s="28" t="s">
        <v>32</v>
      </c>
      <c r="H40" s="28" t="s">
        <v>86</v>
      </c>
      <c r="I40" s="28">
        <v>2009.35</v>
      </c>
      <c r="J40" s="28">
        <v>1147</v>
      </c>
      <c r="K40" s="28">
        <v>543</v>
      </c>
      <c r="L40" s="28">
        <v>16</v>
      </c>
      <c r="M40" s="28">
        <v>0.03</v>
      </c>
      <c r="N40" s="28">
        <v>16548.38</v>
      </c>
      <c r="O40" s="28">
        <v>0.47339999999999999</v>
      </c>
      <c r="P40" s="28">
        <v>3.7</v>
      </c>
      <c r="Q40" s="28">
        <v>7.2356999999999996</v>
      </c>
      <c r="R40" s="26"/>
      <c r="S40" s="26"/>
      <c r="T40" s="26"/>
      <c r="U40" s="26"/>
    </row>
    <row r="41" spans="1:21" x14ac:dyDescent="0.3">
      <c r="A41" s="26"/>
      <c r="B41" s="29">
        <v>45508</v>
      </c>
      <c r="C41" s="28" t="s">
        <v>13</v>
      </c>
      <c r="D41" s="28" t="s">
        <v>84</v>
      </c>
      <c r="E41" s="28" t="s">
        <v>48</v>
      </c>
      <c r="F41" s="28" t="s">
        <v>44</v>
      </c>
      <c r="G41" s="28" t="s">
        <v>30</v>
      </c>
      <c r="H41" s="28" t="s">
        <v>85</v>
      </c>
      <c r="I41" s="28">
        <v>3950.09</v>
      </c>
      <c r="J41" s="28">
        <v>8663</v>
      </c>
      <c r="K41" s="28">
        <v>227</v>
      </c>
      <c r="L41" s="28">
        <v>43</v>
      </c>
      <c r="M41" s="28">
        <v>0.19</v>
      </c>
      <c r="N41" s="28">
        <v>9338.99</v>
      </c>
      <c r="O41" s="28">
        <v>2.6200000000000001E-2</v>
      </c>
      <c r="P41" s="28">
        <v>17.399999999999999</v>
      </c>
      <c r="Q41" s="28">
        <v>1.3642000000000001</v>
      </c>
      <c r="R41" s="26"/>
      <c r="S41" s="26"/>
      <c r="T41" s="26"/>
      <c r="U41" s="26"/>
    </row>
    <row r="42" spans="1:21" x14ac:dyDescent="0.3">
      <c r="A42" s="26"/>
      <c r="B42" s="29">
        <v>45515</v>
      </c>
      <c r="C42" s="28" t="s">
        <v>13</v>
      </c>
      <c r="D42" s="28" t="s">
        <v>83</v>
      </c>
      <c r="E42" s="28" t="s">
        <v>49</v>
      </c>
      <c r="F42" s="28" t="s">
        <v>45</v>
      </c>
      <c r="G42" s="28" t="s">
        <v>32</v>
      </c>
      <c r="H42" s="28" t="s">
        <v>85</v>
      </c>
      <c r="I42" s="28">
        <v>1287.8900000000001</v>
      </c>
      <c r="J42" s="28">
        <v>1530</v>
      </c>
      <c r="K42" s="28">
        <v>781</v>
      </c>
      <c r="L42" s="28">
        <v>19</v>
      </c>
      <c r="M42" s="28">
        <v>0.02</v>
      </c>
      <c r="N42" s="28">
        <v>18695.55</v>
      </c>
      <c r="O42" s="28">
        <v>0.51049999999999995</v>
      </c>
      <c r="P42" s="28">
        <v>1.65</v>
      </c>
      <c r="Q42" s="28">
        <v>13.516400000000001</v>
      </c>
      <c r="R42" s="26"/>
      <c r="S42" s="26"/>
      <c r="T42" s="26"/>
      <c r="U42" s="26"/>
    </row>
    <row r="43" spans="1:21" x14ac:dyDescent="0.3">
      <c r="A43" s="26"/>
      <c r="B43" s="29">
        <v>45522</v>
      </c>
      <c r="C43" s="28" t="s">
        <v>11</v>
      </c>
      <c r="D43" s="28" t="s">
        <v>84</v>
      </c>
      <c r="E43" s="28" t="s">
        <v>48</v>
      </c>
      <c r="F43" s="28" t="s">
        <v>41</v>
      </c>
      <c r="G43" s="28" t="s">
        <v>33</v>
      </c>
      <c r="H43" s="28" t="s">
        <v>85</v>
      </c>
      <c r="I43" s="28">
        <v>3378.78</v>
      </c>
      <c r="J43" s="28">
        <v>5196</v>
      </c>
      <c r="K43" s="28">
        <v>723</v>
      </c>
      <c r="L43" s="28">
        <v>42</v>
      </c>
      <c r="M43" s="28">
        <v>0.06</v>
      </c>
      <c r="N43" s="28">
        <v>1023.81</v>
      </c>
      <c r="O43" s="28">
        <v>0.1391</v>
      </c>
      <c r="P43" s="28">
        <v>4.67</v>
      </c>
      <c r="Q43" s="28">
        <v>-0.69699999999999995</v>
      </c>
      <c r="R43" s="26"/>
      <c r="S43" s="26"/>
      <c r="T43" s="26"/>
      <c r="U43" s="26"/>
    </row>
    <row r="44" spans="1:21" x14ac:dyDescent="0.3">
      <c r="A44" s="26"/>
      <c r="B44" s="29">
        <v>45529</v>
      </c>
      <c r="C44" s="28" t="s">
        <v>11</v>
      </c>
      <c r="D44" s="28" t="s">
        <v>66</v>
      </c>
      <c r="E44" s="28" t="s">
        <v>48</v>
      </c>
      <c r="F44" s="28" t="s">
        <v>43</v>
      </c>
      <c r="G44" s="28" t="s">
        <v>31</v>
      </c>
      <c r="H44" s="28" t="s">
        <v>88</v>
      </c>
      <c r="I44" s="28">
        <v>3632.86</v>
      </c>
      <c r="J44" s="28">
        <v>8716</v>
      </c>
      <c r="K44" s="28">
        <v>259</v>
      </c>
      <c r="L44" s="28">
        <v>44</v>
      </c>
      <c r="M44" s="28">
        <v>0.17</v>
      </c>
      <c r="N44" s="28">
        <v>15651.6</v>
      </c>
      <c r="O44" s="28">
        <v>2.9700000000000001E-2</v>
      </c>
      <c r="P44" s="28">
        <v>14.03</v>
      </c>
      <c r="Q44" s="28">
        <v>3.3083</v>
      </c>
      <c r="R44" s="26"/>
      <c r="S44" s="26"/>
      <c r="T44" s="26"/>
      <c r="U44" s="26"/>
    </row>
    <row r="45" spans="1:21" x14ac:dyDescent="0.3">
      <c r="A45" s="26"/>
      <c r="B45" s="29">
        <v>45536</v>
      </c>
      <c r="C45" s="28" t="s">
        <v>13</v>
      </c>
      <c r="D45" s="28" t="s">
        <v>84</v>
      </c>
      <c r="E45" s="28" t="s">
        <v>48</v>
      </c>
      <c r="F45" s="28" t="s">
        <v>45</v>
      </c>
      <c r="G45" s="28" t="s">
        <v>30</v>
      </c>
      <c r="H45" s="28" t="s">
        <v>85</v>
      </c>
      <c r="I45" s="28">
        <v>1154.8399999999999</v>
      </c>
      <c r="J45" s="28">
        <v>4205</v>
      </c>
      <c r="K45" s="28">
        <v>538</v>
      </c>
      <c r="L45" s="28">
        <v>3</v>
      </c>
      <c r="M45" s="28">
        <v>0.01</v>
      </c>
      <c r="N45" s="28">
        <v>4112.01</v>
      </c>
      <c r="O45" s="28">
        <v>0.12790000000000001</v>
      </c>
      <c r="P45" s="28">
        <v>2.15</v>
      </c>
      <c r="Q45" s="28">
        <v>2.5607000000000002</v>
      </c>
      <c r="R45" s="26"/>
      <c r="S45" s="26"/>
      <c r="T45" s="26"/>
      <c r="U45" s="26"/>
    </row>
    <row r="46" spans="1:21" x14ac:dyDescent="0.3">
      <c r="A46" s="26"/>
      <c r="B46" s="29">
        <v>45543</v>
      </c>
      <c r="C46" s="28" t="s">
        <v>12</v>
      </c>
      <c r="D46" s="28" t="s">
        <v>69</v>
      </c>
      <c r="E46" s="28" t="s">
        <v>47</v>
      </c>
      <c r="F46" s="28" t="s">
        <v>41</v>
      </c>
      <c r="G46" s="28" t="s">
        <v>33</v>
      </c>
      <c r="H46" s="28" t="s">
        <v>88</v>
      </c>
      <c r="I46" s="28">
        <v>1862.04</v>
      </c>
      <c r="J46" s="28">
        <v>3569</v>
      </c>
      <c r="K46" s="28">
        <v>774</v>
      </c>
      <c r="L46" s="28">
        <v>11</v>
      </c>
      <c r="M46" s="28">
        <v>0.01</v>
      </c>
      <c r="N46" s="28">
        <v>8787.16</v>
      </c>
      <c r="O46" s="28">
        <v>0.21690000000000001</v>
      </c>
      <c r="P46" s="28">
        <v>2.41</v>
      </c>
      <c r="Q46" s="28">
        <v>3.7191000000000001</v>
      </c>
      <c r="R46" s="26"/>
      <c r="S46" s="26"/>
      <c r="T46" s="26"/>
      <c r="U46" s="26"/>
    </row>
    <row r="47" spans="1:21" x14ac:dyDescent="0.3">
      <c r="A47" s="26"/>
      <c r="B47" s="29">
        <v>45550</v>
      </c>
      <c r="C47" s="28" t="s">
        <v>13</v>
      </c>
      <c r="D47" s="28" t="s">
        <v>65</v>
      </c>
      <c r="E47" s="28" t="s">
        <v>47</v>
      </c>
      <c r="F47" s="28" t="s">
        <v>41</v>
      </c>
      <c r="G47" s="28" t="s">
        <v>31</v>
      </c>
      <c r="H47" s="28" t="s">
        <v>87</v>
      </c>
      <c r="I47" s="28">
        <v>1555.73</v>
      </c>
      <c r="J47" s="28">
        <v>9432</v>
      </c>
      <c r="K47" s="28">
        <v>623</v>
      </c>
      <c r="L47" s="28">
        <v>29</v>
      </c>
      <c r="M47" s="28">
        <v>0.05</v>
      </c>
      <c r="N47" s="28">
        <v>18952.14</v>
      </c>
      <c r="O47" s="28">
        <v>6.6100000000000006E-2</v>
      </c>
      <c r="P47" s="28">
        <v>2.5</v>
      </c>
      <c r="Q47" s="28">
        <v>11.1822</v>
      </c>
      <c r="R47" s="26"/>
      <c r="S47" s="26"/>
      <c r="T47" s="26"/>
      <c r="U47" s="26"/>
    </row>
    <row r="48" spans="1:21" x14ac:dyDescent="0.3">
      <c r="A48" s="26"/>
      <c r="B48" s="29">
        <v>45557</v>
      </c>
      <c r="C48" s="28" t="s">
        <v>13</v>
      </c>
      <c r="D48" s="28" t="s">
        <v>66</v>
      </c>
      <c r="E48" s="28" t="s">
        <v>48</v>
      </c>
      <c r="F48" s="28" t="s">
        <v>41</v>
      </c>
      <c r="G48" s="28" t="s">
        <v>33</v>
      </c>
      <c r="H48" s="28" t="s">
        <v>86</v>
      </c>
      <c r="I48" s="28">
        <v>3973.06</v>
      </c>
      <c r="J48" s="28">
        <v>4187</v>
      </c>
      <c r="K48" s="28">
        <v>619</v>
      </c>
      <c r="L48" s="28">
        <v>5</v>
      </c>
      <c r="M48" s="28">
        <v>0.01</v>
      </c>
      <c r="N48" s="28">
        <v>13059.27</v>
      </c>
      <c r="O48" s="28">
        <v>0.14779999999999999</v>
      </c>
      <c r="P48" s="28">
        <v>6.42</v>
      </c>
      <c r="Q48" s="28">
        <v>2.2869999999999999</v>
      </c>
      <c r="R48" s="26"/>
      <c r="S48" s="26"/>
      <c r="T48" s="26"/>
      <c r="U48" s="26"/>
    </row>
    <row r="49" spans="1:21" x14ac:dyDescent="0.3">
      <c r="A49" s="26"/>
      <c r="B49" s="29">
        <v>45564</v>
      </c>
      <c r="C49" s="28" t="s">
        <v>11</v>
      </c>
      <c r="D49" s="28" t="s">
        <v>68</v>
      </c>
      <c r="E49" s="28" t="s">
        <v>47</v>
      </c>
      <c r="F49" s="28" t="s">
        <v>41</v>
      </c>
      <c r="G49" s="28" t="s">
        <v>30</v>
      </c>
      <c r="H49" s="28" t="s">
        <v>86</v>
      </c>
      <c r="I49" s="28">
        <v>3970.41</v>
      </c>
      <c r="J49" s="28">
        <v>1114</v>
      </c>
      <c r="K49" s="28">
        <v>869</v>
      </c>
      <c r="L49" s="28">
        <v>46</v>
      </c>
      <c r="M49" s="28">
        <v>0.05</v>
      </c>
      <c r="N49" s="28">
        <v>6219.6</v>
      </c>
      <c r="O49" s="28">
        <v>0.78010000000000002</v>
      </c>
      <c r="P49" s="28">
        <v>4.57</v>
      </c>
      <c r="Q49" s="28">
        <v>0.5665</v>
      </c>
      <c r="R49" s="26"/>
      <c r="S49" s="26"/>
      <c r="T49" s="26"/>
      <c r="U49" s="26"/>
    </row>
    <row r="50" spans="1:21" x14ac:dyDescent="0.3">
      <c r="A50" s="26"/>
      <c r="B50" s="29">
        <v>45571</v>
      </c>
      <c r="C50" s="28" t="s">
        <v>11</v>
      </c>
      <c r="D50" s="28" t="s">
        <v>65</v>
      </c>
      <c r="E50" s="28" t="s">
        <v>47</v>
      </c>
      <c r="F50" s="28" t="s">
        <v>40</v>
      </c>
      <c r="G50" s="28" t="s">
        <v>30</v>
      </c>
      <c r="H50" s="28" t="s">
        <v>86</v>
      </c>
      <c r="I50" s="28">
        <v>2946.93</v>
      </c>
      <c r="J50" s="28">
        <v>9307</v>
      </c>
      <c r="K50" s="28">
        <v>583</v>
      </c>
      <c r="L50" s="28">
        <v>39</v>
      </c>
      <c r="M50" s="28">
        <v>7.0000000000000007E-2</v>
      </c>
      <c r="N50" s="28">
        <v>5436.82</v>
      </c>
      <c r="O50" s="28">
        <v>6.2600000000000003E-2</v>
      </c>
      <c r="P50" s="28">
        <v>5.05</v>
      </c>
      <c r="Q50" s="28">
        <v>0.84489999999999998</v>
      </c>
      <c r="R50" s="26"/>
      <c r="S50" s="26"/>
      <c r="T50" s="26"/>
      <c r="U50" s="26"/>
    </row>
    <row r="51" spans="1:21" x14ac:dyDescent="0.3">
      <c r="A51" s="26"/>
      <c r="B51" s="29">
        <v>45578</v>
      </c>
      <c r="C51" s="28" t="s">
        <v>12</v>
      </c>
      <c r="D51" s="28" t="s">
        <v>81</v>
      </c>
      <c r="E51" s="28" t="s">
        <v>48</v>
      </c>
      <c r="F51" s="28" t="s">
        <v>41</v>
      </c>
      <c r="G51" s="28" t="s">
        <v>30</v>
      </c>
      <c r="H51" s="28" t="s">
        <v>88</v>
      </c>
      <c r="I51" s="28">
        <v>2916.69</v>
      </c>
      <c r="J51" s="28">
        <v>2060</v>
      </c>
      <c r="K51" s="28">
        <v>172</v>
      </c>
      <c r="L51" s="28">
        <v>17</v>
      </c>
      <c r="M51" s="28">
        <v>0.1</v>
      </c>
      <c r="N51" s="28">
        <v>11932.58</v>
      </c>
      <c r="O51" s="28">
        <v>8.3500000000000005E-2</v>
      </c>
      <c r="P51" s="28">
        <v>16.96</v>
      </c>
      <c r="Q51" s="28">
        <v>3.0911</v>
      </c>
      <c r="R51" s="26"/>
      <c r="S51" s="26"/>
      <c r="T51" s="26"/>
      <c r="U51" s="26"/>
    </row>
    <row r="52" spans="1:21" x14ac:dyDescent="0.3">
      <c r="A52" s="26"/>
      <c r="B52" s="29">
        <v>45585</v>
      </c>
      <c r="C52" s="28" t="s">
        <v>12</v>
      </c>
      <c r="D52" s="28" t="s">
        <v>75</v>
      </c>
      <c r="E52" s="28" t="s">
        <v>47</v>
      </c>
      <c r="F52" s="28" t="s">
        <v>40</v>
      </c>
      <c r="G52" s="28" t="s">
        <v>31</v>
      </c>
      <c r="H52" s="28" t="s">
        <v>85</v>
      </c>
      <c r="I52" s="28">
        <v>3636.93</v>
      </c>
      <c r="J52" s="28">
        <v>6856</v>
      </c>
      <c r="K52" s="28">
        <v>352</v>
      </c>
      <c r="L52" s="28">
        <v>26</v>
      </c>
      <c r="M52" s="28">
        <v>7.0000000000000007E-2</v>
      </c>
      <c r="N52" s="28">
        <v>18906.16</v>
      </c>
      <c r="O52" s="28">
        <v>5.1299999999999998E-2</v>
      </c>
      <c r="P52" s="28">
        <v>10.33</v>
      </c>
      <c r="Q52" s="28">
        <v>4.1984000000000004</v>
      </c>
      <c r="R52" s="26"/>
      <c r="S52" s="26"/>
      <c r="T52" s="26"/>
      <c r="U52" s="26"/>
    </row>
    <row r="53" spans="1:21" x14ac:dyDescent="0.3">
      <c r="A53" s="26"/>
      <c r="B53" s="29">
        <v>45592</v>
      </c>
      <c r="C53" s="28" t="s">
        <v>12</v>
      </c>
      <c r="D53" s="28" t="s">
        <v>82</v>
      </c>
      <c r="E53" s="28" t="s">
        <v>47</v>
      </c>
      <c r="F53" s="28" t="s">
        <v>45</v>
      </c>
      <c r="G53" s="28" t="s">
        <v>32</v>
      </c>
      <c r="H53" s="28" t="s">
        <v>87</v>
      </c>
      <c r="I53" s="28">
        <v>3540.6</v>
      </c>
      <c r="J53" s="28">
        <v>8400</v>
      </c>
      <c r="K53" s="28">
        <v>979</v>
      </c>
      <c r="L53" s="28">
        <v>28</v>
      </c>
      <c r="M53" s="28">
        <v>0.03</v>
      </c>
      <c r="N53" s="28">
        <v>17279.68</v>
      </c>
      <c r="O53" s="28">
        <v>0.11650000000000001</v>
      </c>
      <c r="P53" s="28">
        <v>3.62</v>
      </c>
      <c r="Q53" s="28">
        <v>3.8803999999999998</v>
      </c>
      <c r="R53" s="26"/>
      <c r="S53" s="26"/>
      <c r="T53" s="26"/>
      <c r="U53" s="26"/>
    </row>
    <row r="54" spans="1:21" x14ac:dyDescent="0.3">
      <c r="A54" s="26"/>
      <c r="B54" s="29">
        <v>45599</v>
      </c>
      <c r="C54" s="28" t="s">
        <v>12</v>
      </c>
      <c r="D54" s="28" t="s">
        <v>73</v>
      </c>
      <c r="E54" s="28" t="s">
        <v>47</v>
      </c>
      <c r="F54" s="28" t="s">
        <v>40</v>
      </c>
      <c r="G54" s="28" t="s">
        <v>33</v>
      </c>
      <c r="H54" s="28" t="s">
        <v>85</v>
      </c>
      <c r="I54" s="28">
        <v>950.21</v>
      </c>
      <c r="J54" s="28">
        <v>9942</v>
      </c>
      <c r="K54" s="28">
        <v>530</v>
      </c>
      <c r="L54" s="28">
        <v>31</v>
      </c>
      <c r="M54" s="28">
        <v>0.06</v>
      </c>
      <c r="N54" s="28">
        <v>12641.66</v>
      </c>
      <c r="O54" s="28">
        <v>5.33E-2</v>
      </c>
      <c r="P54" s="28">
        <v>1.79</v>
      </c>
      <c r="Q54" s="28">
        <v>12.3041</v>
      </c>
      <c r="R54" s="26"/>
      <c r="S54" s="26"/>
      <c r="T54" s="26"/>
      <c r="U54" s="26"/>
    </row>
    <row r="55" spans="1:21" x14ac:dyDescent="0.3">
      <c r="A55" s="26"/>
      <c r="B55" s="29">
        <v>45606</v>
      </c>
      <c r="C55" s="28" t="s">
        <v>11</v>
      </c>
      <c r="D55" s="28" t="s">
        <v>65</v>
      </c>
      <c r="E55" s="28" t="s">
        <v>47</v>
      </c>
      <c r="F55" s="28" t="s">
        <v>45</v>
      </c>
      <c r="G55" s="28" t="s">
        <v>33</v>
      </c>
      <c r="H55" s="28" t="s">
        <v>88</v>
      </c>
      <c r="I55" s="28">
        <v>2056.67</v>
      </c>
      <c r="J55" s="28">
        <v>5688</v>
      </c>
      <c r="K55" s="28">
        <v>583</v>
      </c>
      <c r="L55" s="28">
        <v>49</v>
      </c>
      <c r="M55" s="28">
        <v>0.08</v>
      </c>
      <c r="N55" s="28">
        <v>14541.76</v>
      </c>
      <c r="O55" s="28">
        <v>0.10249999999999999</v>
      </c>
      <c r="P55" s="28">
        <v>3.53</v>
      </c>
      <c r="Q55" s="28">
        <v>6.0705</v>
      </c>
      <c r="R55" s="26"/>
      <c r="S55" s="26"/>
      <c r="T55" s="26"/>
      <c r="U55" s="26"/>
    </row>
    <row r="56" spans="1:21" x14ac:dyDescent="0.3">
      <c r="A56" s="26"/>
      <c r="B56" s="29">
        <v>45613</v>
      </c>
      <c r="C56" s="28" t="s">
        <v>13</v>
      </c>
      <c r="D56" s="28" t="s">
        <v>70</v>
      </c>
      <c r="E56" s="28" t="s">
        <v>49</v>
      </c>
      <c r="F56" s="28" t="s">
        <v>40</v>
      </c>
      <c r="G56" s="28" t="s">
        <v>31</v>
      </c>
      <c r="H56" s="28" t="s">
        <v>85</v>
      </c>
      <c r="I56" s="28">
        <v>2756.2</v>
      </c>
      <c r="J56" s="28">
        <v>5013</v>
      </c>
      <c r="K56" s="28">
        <v>664</v>
      </c>
      <c r="L56" s="28">
        <v>31</v>
      </c>
      <c r="M56" s="28">
        <v>0.05</v>
      </c>
      <c r="N56" s="28">
        <v>6824.82</v>
      </c>
      <c r="O56" s="28">
        <v>0.13250000000000001</v>
      </c>
      <c r="P56" s="28">
        <v>4.1500000000000004</v>
      </c>
      <c r="Q56" s="28">
        <v>1.4762</v>
      </c>
      <c r="R56" s="26"/>
      <c r="S56" s="26"/>
      <c r="T56" s="26"/>
      <c r="U56" s="26"/>
    </row>
    <row r="57" spans="1:21" x14ac:dyDescent="0.3">
      <c r="A57" s="26"/>
      <c r="B57" s="29">
        <v>45522</v>
      </c>
      <c r="C57" s="28" t="s">
        <v>11</v>
      </c>
      <c r="D57" s="28" t="s">
        <v>81</v>
      </c>
      <c r="E57" s="28" t="s">
        <v>48</v>
      </c>
      <c r="F57" s="28" t="s">
        <v>40</v>
      </c>
      <c r="G57" s="28" t="s">
        <v>31</v>
      </c>
      <c r="H57" s="28" t="s">
        <v>86</v>
      </c>
      <c r="I57" s="28">
        <v>1328.71</v>
      </c>
      <c r="J57" s="28">
        <v>1941</v>
      </c>
      <c r="K57" s="28">
        <v>177</v>
      </c>
      <c r="L57" s="28">
        <v>1</v>
      </c>
      <c r="M57" s="28">
        <v>0.01</v>
      </c>
      <c r="N57" s="28">
        <v>9215.7199999999993</v>
      </c>
      <c r="O57" s="28">
        <v>9.1200000000000003E-2</v>
      </c>
      <c r="P57" s="28">
        <v>7.51</v>
      </c>
      <c r="Q57" s="28">
        <v>5.9358000000000004</v>
      </c>
      <c r="R57" s="26"/>
      <c r="S57" s="26"/>
      <c r="T57" s="26"/>
      <c r="U57" s="26"/>
    </row>
    <row r="58" spans="1:21" x14ac:dyDescent="0.3">
      <c r="A58" s="26"/>
      <c r="B58" s="29">
        <v>45529</v>
      </c>
      <c r="C58" s="28" t="s">
        <v>11</v>
      </c>
      <c r="D58" s="28" t="s">
        <v>65</v>
      </c>
      <c r="E58" s="28" t="s">
        <v>47</v>
      </c>
      <c r="F58" s="28" t="s">
        <v>41</v>
      </c>
      <c r="G58" s="28" t="s">
        <v>31</v>
      </c>
      <c r="H58" s="28" t="s">
        <v>85</v>
      </c>
      <c r="I58" s="28">
        <v>1250</v>
      </c>
      <c r="J58" s="28">
        <v>50000</v>
      </c>
      <c r="K58" s="28">
        <v>2500</v>
      </c>
      <c r="L58" s="28">
        <v>125</v>
      </c>
      <c r="M58" s="28">
        <v>0.05</v>
      </c>
      <c r="N58" s="28">
        <v>18750</v>
      </c>
      <c r="O58" s="28">
        <v>0.05</v>
      </c>
      <c r="P58" s="28">
        <v>0.5</v>
      </c>
      <c r="Q58" s="28">
        <v>14</v>
      </c>
      <c r="R58" s="26"/>
      <c r="S58" s="26"/>
      <c r="T58" s="26"/>
      <c r="U58" s="26"/>
    </row>
    <row r="59" spans="1:21" x14ac:dyDescent="0.3">
      <c r="A59" s="26"/>
      <c r="B59" s="29">
        <v>45536</v>
      </c>
      <c r="C59" s="28" t="s">
        <v>11</v>
      </c>
      <c r="D59" s="28" t="s">
        <v>79</v>
      </c>
      <c r="E59" s="28" t="s">
        <v>47</v>
      </c>
      <c r="F59" s="28" t="s">
        <v>40</v>
      </c>
      <c r="G59" s="28" t="s">
        <v>32</v>
      </c>
      <c r="H59" s="28" t="s">
        <v>85</v>
      </c>
      <c r="I59" s="28">
        <v>3200</v>
      </c>
      <c r="J59" s="28">
        <v>120000</v>
      </c>
      <c r="K59" s="28">
        <v>4800</v>
      </c>
      <c r="L59" s="28">
        <v>240</v>
      </c>
      <c r="M59" s="28">
        <v>0.05</v>
      </c>
      <c r="N59" s="28">
        <v>36000</v>
      </c>
      <c r="O59" s="28">
        <v>0.04</v>
      </c>
      <c r="P59" s="28">
        <v>0.67</v>
      </c>
      <c r="Q59" s="28">
        <v>10.25</v>
      </c>
      <c r="R59" s="26"/>
      <c r="S59" s="26"/>
      <c r="T59" s="26"/>
      <c r="U59" s="26"/>
    </row>
    <row r="60" spans="1:21" x14ac:dyDescent="0.3">
      <c r="A60" s="26"/>
      <c r="B60" s="29">
        <v>45543</v>
      </c>
      <c r="C60" s="28" t="s">
        <v>13</v>
      </c>
      <c r="D60" s="28" t="s">
        <v>81</v>
      </c>
      <c r="E60" s="28" t="s">
        <v>48</v>
      </c>
      <c r="F60" s="28" t="s">
        <v>44</v>
      </c>
      <c r="G60" s="28" t="s">
        <v>33</v>
      </c>
      <c r="H60" s="28" t="s">
        <v>85</v>
      </c>
      <c r="I60" s="28">
        <v>2800</v>
      </c>
      <c r="J60" s="28">
        <v>95000</v>
      </c>
      <c r="K60" s="28">
        <v>4750</v>
      </c>
      <c r="L60" s="28">
        <v>190</v>
      </c>
      <c r="M60" s="28">
        <v>0.04</v>
      </c>
      <c r="N60" s="28">
        <v>28500</v>
      </c>
      <c r="O60" s="28">
        <v>0.05</v>
      </c>
      <c r="P60" s="28">
        <v>0.59</v>
      </c>
      <c r="Q60" s="28">
        <v>9.18</v>
      </c>
      <c r="R60" s="26"/>
      <c r="S60" s="26"/>
      <c r="T60" s="26"/>
      <c r="U60" s="26"/>
    </row>
    <row r="61" spans="1:21" x14ac:dyDescent="0.3">
      <c r="A61" s="26"/>
      <c r="B61" s="29">
        <v>45550</v>
      </c>
      <c r="C61" s="28" t="s">
        <v>12</v>
      </c>
      <c r="D61" s="28" t="s">
        <v>65</v>
      </c>
      <c r="E61" s="28" t="s">
        <v>47</v>
      </c>
      <c r="F61" s="28" t="s">
        <v>41</v>
      </c>
      <c r="G61" s="28" t="s">
        <v>30</v>
      </c>
      <c r="H61" s="28" t="s">
        <v>85</v>
      </c>
      <c r="I61" s="28">
        <v>4100</v>
      </c>
      <c r="J61" s="28">
        <v>60000</v>
      </c>
      <c r="K61" s="28">
        <v>1800</v>
      </c>
      <c r="L61" s="28">
        <v>90</v>
      </c>
      <c r="M61" s="28">
        <v>0.05</v>
      </c>
      <c r="N61" s="28">
        <v>22500</v>
      </c>
      <c r="O61" s="28">
        <v>0.03</v>
      </c>
      <c r="P61" s="28">
        <v>2.2799999999999998</v>
      </c>
      <c r="Q61" s="28">
        <v>4.49</v>
      </c>
      <c r="R61" s="26"/>
      <c r="S61" s="26"/>
      <c r="T61" s="26"/>
      <c r="U61" s="26"/>
    </row>
    <row r="62" spans="1:21" x14ac:dyDescent="0.3">
      <c r="A62" s="26"/>
      <c r="B62" s="29">
        <v>45557</v>
      </c>
      <c r="C62" s="28" t="s">
        <v>11</v>
      </c>
      <c r="D62" s="28" t="s">
        <v>72</v>
      </c>
      <c r="E62" s="28" t="s">
        <v>47</v>
      </c>
      <c r="F62" s="28" t="s">
        <v>44</v>
      </c>
      <c r="G62" s="28" t="s">
        <v>32</v>
      </c>
      <c r="H62" s="28" t="s">
        <v>85</v>
      </c>
      <c r="I62" s="28">
        <v>980</v>
      </c>
      <c r="J62" s="28">
        <v>40000</v>
      </c>
      <c r="K62" s="28">
        <v>2000</v>
      </c>
      <c r="L62" s="28">
        <v>100</v>
      </c>
      <c r="M62" s="28">
        <v>0.05</v>
      </c>
      <c r="N62" s="28">
        <v>15000</v>
      </c>
      <c r="O62" s="28">
        <v>0.05</v>
      </c>
      <c r="P62" s="28">
        <v>0.49</v>
      </c>
      <c r="Q62" s="28">
        <v>14.31</v>
      </c>
      <c r="R62" s="26"/>
      <c r="S62" s="26"/>
      <c r="T62" s="26"/>
      <c r="U62" s="26"/>
    </row>
    <row r="63" spans="1:21" x14ac:dyDescent="0.3">
      <c r="A63" s="26"/>
      <c r="B63" s="29">
        <v>45564</v>
      </c>
      <c r="C63" s="28" t="s">
        <v>12</v>
      </c>
      <c r="D63" s="28" t="s">
        <v>77</v>
      </c>
      <c r="E63" s="28" t="s">
        <v>49</v>
      </c>
      <c r="F63" s="28" t="s">
        <v>39</v>
      </c>
      <c r="G63" s="28" t="s">
        <v>31</v>
      </c>
      <c r="H63" s="28" t="s">
        <v>85</v>
      </c>
      <c r="I63" s="28">
        <v>2100</v>
      </c>
      <c r="J63" s="28">
        <v>70000</v>
      </c>
      <c r="K63" s="28">
        <v>3500</v>
      </c>
      <c r="L63" s="28">
        <v>175</v>
      </c>
      <c r="M63" s="28">
        <v>0.05</v>
      </c>
      <c r="N63" s="28">
        <v>26250</v>
      </c>
      <c r="O63" s="28">
        <v>0.05</v>
      </c>
      <c r="P63" s="28">
        <v>0.6</v>
      </c>
      <c r="Q63" s="28">
        <v>11.5</v>
      </c>
      <c r="R63" s="26"/>
      <c r="S63" s="26"/>
      <c r="T63" s="26"/>
      <c r="U63" s="26"/>
    </row>
    <row r="64" spans="1:21" x14ac:dyDescent="0.3">
      <c r="A64" s="26"/>
      <c r="B64" s="29">
        <v>45571</v>
      </c>
      <c r="C64" s="28" t="s">
        <v>12</v>
      </c>
      <c r="D64" s="28" t="s">
        <v>83</v>
      </c>
      <c r="E64" s="28" t="s">
        <v>49</v>
      </c>
      <c r="F64" s="28" t="s">
        <v>39</v>
      </c>
      <c r="G64" s="28" t="s">
        <v>32</v>
      </c>
      <c r="H64" s="28" t="s">
        <v>85</v>
      </c>
      <c r="I64" s="28">
        <v>3400</v>
      </c>
      <c r="J64" s="28">
        <v>110000</v>
      </c>
      <c r="K64" s="28">
        <v>4400</v>
      </c>
      <c r="L64" s="28">
        <v>220</v>
      </c>
      <c r="M64" s="28">
        <v>0.05</v>
      </c>
      <c r="N64" s="28">
        <v>33000</v>
      </c>
      <c r="O64" s="28">
        <v>0.04</v>
      </c>
      <c r="P64" s="28">
        <v>0.77</v>
      </c>
      <c r="Q64" s="28">
        <v>8.7100000000000009</v>
      </c>
      <c r="R64" s="26"/>
      <c r="S64" s="26"/>
      <c r="T64" s="26"/>
      <c r="U64" s="26"/>
    </row>
    <row r="65" spans="1:21" x14ac:dyDescent="0.3">
      <c r="A65" s="26"/>
      <c r="B65" s="29">
        <v>45578</v>
      </c>
      <c r="C65" s="28" t="s">
        <v>13</v>
      </c>
      <c r="D65" s="28" t="s">
        <v>83</v>
      </c>
      <c r="E65" s="28" t="s">
        <v>49</v>
      </c>
      <c r="F65" s="28" t="s">
        <v>44</v>
      </c>
      <c r="G65" s="28" t="s">
        <v>33</v>
      </c>
      <c r="H65" s="28" t="s">
        <v>85</v>
      </c>
      <c r="I65" s="28">
        <v>2950</v>
      </c>
      <c r="J65" s="28">
        <v>88000</v>
      </c>
      <c r="K65" s="28">
        <v>3520</v>
      </c>
      <c r="L65" s="28">
        <v>176</v>
      </c>
      <c r="M65" s="28">
        <v>0.05</v>
      </c>
      <c r="N65" s="28">
        <v>26400</v>
      </c>
      <c r="O65" s="28">
        <v>0.04</v>
      </c>
      <c r="P65" s="28">
        <v>0.84</v>
      </c>
      <c r="Q65" s="28">
        <v>7.95</v>
      </c>
      <c r="R65" s="26"/>
      <c r="S65" s="26"/>
      <c r="T65" s="26"/>
      <c r="U65" s="26"/>
    </row>
    <row r="66" spans="1:21" x14ac:dyDescent="0.3">
      <c r="A66" s="26"/>
      <c r="B66" s="29">
        <v>45585</v>
      </c>
      <c r="C66" s="28" t="s">
        <v>11</v>
      </c>
      <c r="D66" s="28" t="s">
        <v>68</v>
      </c>
      <c r="E66" s="28" t="s">
        <v>47</v>
      </c>
      <c r="F66" s="28" t="s">
        <v>41</v>
      </c>
      <c r="G66" s="28" t="s">
        <v>30</v>
      </c>
      <c r="H66" s="28" t="s">
        <v>85</v>
      </c>
      <c r="I66" s="28">
        <v>5000</v>
      </c>
      <c r="J66" s="28">
        <v>55000</v>
      </c>
      <c r="K66" s="28">
        <v>1650</v>
      </c>
      <c r="L66" s="28">
        <v>82</v>
      </c>
      <c r="M66" s="28">
        <v>0.05</v>
      </c>
      <c r="N66" s="28">
        <v>20500</v>
      </c>
      <c r="O66" s="28">
        <v>0.03</v>
      </c>
      <c r="P66" s="28">
        <v>3.03</v>
      </c>
      <c r="Q66" s="28">
        <v>3.1</v>
      </c>
      <c r="R66" s="26"/>
      <c r="S66" s="26"/>
      <c r="T66" s="26"/>
      <c r="U66" s="26"/>
    </row>
    <row r="67" spans="1:21" x14ac:dyDescent="0.3">
      <c r="A67" s="26"/>
      <c r="B67" s="29">
        <v>45592</v>
      </c>
      <c r="C67" s="28" t="s">
        <v>12</v>
      </c>
      <c r="D67" s="28" t="s">
        <v>80</v>
      </c>
      <c r="E67" s="28" t="s">
        <v>48</v>
      </c>
      <c r="F67" s="28" t="s">
        <v>45</v>
      </c>
      <c r="G67" s="28" t="s">
        <v>31</v>
      </c>
      <c r="H67" s="28" t="s">
        <v>85</v>
      </c>
      <c r="I67" s="28">
        <v>1750</v>
      </c>
      <c r="J67" s="28">
        <v>60000</v>
      </c>
      <c r="K67" s="28">
        <v>3000</v>
      </c>
      <c r="L67" s="28">
        <v>150</v>
      </c>
      <c r="M67" s="28">
        <v>0.05</v>
      </c>
      <c r="N67" s="28">
        <v>22500</v>
      </c>
      <c r="O67" s="28">
        <v>0.05</v>
      </c>
      <c r="P67" s="28">
        <v>0.57999999999999996</v>
      </c>
      <c r="Q67" s="28">
        <v>11.86</v>
      </c>
      <c r="R67" s="26"/>
      <c r="S67" s="26"/>
      <c r="T67" s="26"/>
      <c r="U67" s="26"/>
    </row>
    <row r="68" spans="1:21" x14ac:dyDescent="0.3">
      <c r="A68" s="26"/>
      <c r="B68" s="29">
        <v>45599</v>
      </c>
      <c r="C68" s="28" t="s">
        <v>13</v>
      </c>
      <c r="D68" s="28" t="s">
        <v>80</v>
      </c>
      <c r="E68" s="28" t="s">
        <v>48</v>
      </c>
      <c r="F68" s="28" t="s">
        <v>43</v>
      </c>
      <c r="G68" s="28" t="s">
        <v>32</v>
      </c>
      <c r="H68" s="28" t="s">
        <v>85</v>
      </c>
      <c r="I68" s="28">
        <v>2300</v>
      </c>
      <c r="J68" s="28">
        <v>80000</v>
      </c>
      <c r="K68" s="28">
        <v>3200</v>
      </c>
      <c r="L68" s="28">
        <v>160</v>
      </c>
      <c r="M68" s="28">
        <v>0.05</v>
      </c>
      <c r="N68" s="28">
        <v>24000</v>
      </c>
      <c r="O68" s="28">
        <v>0.04</v>
      </c>
      <c r="P68" s="28">
        <v>0.72</v>
      </c>
      <c r="Q68" s="28">
        <v>9.43</v>
      </c>
      <c r="R68" s="26"/>
      <c r="S68" s="26"/>
      <c r="T68" s="26"/>
      <c r="U68" s="26"/>
    </row>
    <row r="69" spans="1:21" x14ac:dyDescent="0.3">
      <c r="A69" s="26"/>
      <c r="B69" s="29">
        <v>45606</v>
      </c>
      <c r="C69" s="28" t="s">
        <v>12</v>
      </c>
      <c r="D69" s="28" t="s">
        <v>69</v>
      </c>
      <c r="E69" s="28" t="s">
        <v>47</v>
      </c>
      <c r="F69" s="28" t="s">
        <v>44</v>
      </c>
      <c r="G69" s="28" t="s">
        <v>33</v>
      </c>
      <c r="H69" s="28" t="s">
        <v>86</v>
      </c>
      <c r="I69" s="28">
        <v>3900</v>
      </c>
      <c r="J69" s="28">
        <v>105000</v>
      </c>
      <c r="K69" s="28">
        <v>4200</v>
      </c>
      <c r="L69" s="28">
        <v>210</v>
      </c>
      <c r="M69" s="28">
        <v>0.05</v>
      </c>
      <c r="N69" s="28">
        <v>31500</v>
      </c>
      <c r="O69" s="28">
        <v>0.04</v>
      </c>
      <c r="P69" s="28">
        <v>0.93</v>
      </c>
      <c r="Q69" s="28">
        <v>7.08</v>
      </c>
      <c r="R69" s="26"/>
      <c r="S69" s="26"/>
      <c r="T69" s="26"/>
      <c r="U69" s="26"/>
    </row>
    <row r="70" spans="1:21" x14ac:dyDescent="0.3">
      <c r="A70" s="26"/>
      <c r="B70" s="29">
        <v>45613</v>
      </c>
      <c r="C70" s="28" t="s">
        <v>12</v>
      </c>
      <c r="D70" s="28" t="s">
        <v>68</v>
      </c>
      <c r="E70" s="28" t="s">
        <v>47</v>
      </c>
      <c r="F70" s="28" t="s">
        <v>44</v>
      </c>
      <c r="G70" s="28" t="s">
        <v>30</v>
      </c>
      <c r="H70" s="28" t="s">
        <v>86</v>
      </c>
      <c r="I70" s="28">
        <v>4500</v>
      </c>
      <c r="J70" s="28">
        <v>50000</v>
      </c>
      <c r="K70" s="28">
        <v>1500</v>
      </c>
      <c r="L70" s="28">
        <v>75</v>
      </c>
      <c r="M70" s="28">
        <v>0.05</v>
      </c>
      <c r="N70" s="28">
        <v>18750</v>
      </c>
      <c r="O70" s="28">
        <v>0.03</v>
      </c>
      <c r="P70" s="28">
        <v>3</v>
      </c>
      <c r="Q70" s="28">
        <v>3.17</v>
      </c>
      <c r="R70" s="26"/>
      <c r="S70" s="26"/>
      <c r="T70" s="26"/>
      <c r="U70" s="26"/>
    </row>
    <row r="71" spans="1:21" x14ac:dyDescent="0.3">
      <c r="A71" s="26"/>
      <c r="B71" s="29">
        <v>45032</v>
      </c>
      <c r="C71" s="28" t="s">
        <v>13</v>
      </c>
      <c r="D71" s="28" t="s">
        <v>81</v>
      </c>
      <c r="E71" s="28" t="s">
        <v>48</v>
      </c>
      <c r="F71" s="28" t="s">
        <v>44</v>
      </c>
      <c r="G71" s="28" t="s">
        <v>31</v>
      </c>
      <c r="H71" s="28" t="s">
        <v>86</v>
      </c>
      <c r="I71" s="28">
        <v>2200</v>
      </c>
      <c r="J71" s="28">
        <v>72000</v>
      </c>
      <c r="K71" s="28">
        <v>3600</v>
      </c>
      <c r="L71" s="28">
        <v>180</v>
      </c>
      <c r="M71" s="28">
        <v>0.05</v>
      </c>
      <c r="N71" s="28">
        <v>27000</v>
      </c>
      <c r="O71" s="28">
        <v>0.05</v>
      </c>
      <c r="P71" s="28">
        <v>0.61</v>
      </c>
      <c r="Q71" s="28">
        <v>11.27</v>
      </c>
      <c r="R71" s="26"/>
      <c r="S71" s="26"/>
      <c r="T71" s="26"/>
      <c r="U71" s="26"/>
    </row>
    <row r="72" spans="1:21" x14ac:dyDescent="0.3">
      <c r="A72" s="26"/>
      <c r="B72" s="29">
        <v>45039</v>
      </c>
      <c r="C72" s="28" t="s">
        <v>12</v>
      </c>
      <c r="D72" s="28" t="s">
        <v>71</v>
      </c>
      <c r="E72" s="28" t="s">
        <v>48</v>
      </c>
      <c r="F72" s="28" t="s">
        <v>43</v>
      </c>
      <c r="G72" s="28" t="s">
        <v>33</v>
      </c>
      <c r="H72" s="28" t="s">
        <v>86</v>
      </c>
      <c r="I72" s="28">
        <v>3100</v>
      </c>
      <c r="J72" s="28">
        <v>92000</v>
      </c>
      <c r="K72" s="28">
        <v>3680</v>
      </c>
      <c r="L72" s="28">
        <v>184</v>
      </c>
      <c r="M72" s="28">
        <v>0.05</v>
      </c>
      <c r="N72" s="28">
        <v>27600</v>
      </c>
      <c r="O72" s="28">
        <v>0.04</v>
      </c>
      <c r="P72" s="28">
        <v>0.84</v>
      </c>
      <c r="Q72" s="28">
        <v>7.9</v>
      </c>
      <c r="R72" s="26"/>
      <c r="S72" s="26"/>
      <c r="T72" s="26"/>
      <c r="U72" s="26"/>
    </row>
    <row r="73" spans="1:21" x14ac:dyDescent="0.3">
      <c r="A73" s="26"/>
      <c r="B73" s="29">
        <v>45046</v>
      </c>
      <c r="C73" s="28" t="s">
        <v>12</v>
      </c>
      <c r="D73" s="28" t="s">
        <v>72</v>
      </c>
      <c r="E73" s="28" t="s">
        <v>47</v>
      </c>
      <c r="F73" s="28" t="s">
        <v>45</v>
      </c>
      <c r="G73" s="28" t="s">
        <v>32</v>
      </c>
      <c r="H73" s="28" t="s">
        <v>86</v>
      </c>
      <c r="I73" s="28">
        <v>2700</v>
      </c>
      <c r="J73" s="28">
        <v>90000</v>
      </c>
      <c r="K73" s="28">
        <v>3600</v>
      </c>
      <c r="L73" s="28">
        <v>180</v>
      </c>
      <c r="M73" s="28">
        <v>0.05</v>
      </c>
      <c r="N73" s="28">
        <v>27000</v>
      </c>
      <c r="O73" s="28">
        <v>0.04</v>
      </c>
      <c r="P73" s="28">
        <v>0.75</v>
      </c>
      <c r="Q73" s="28">
        <v>9</v>
      </c>
      <c r="R73" s="26"/>
      <c r="S73" s="26"/>
      <c r="T73" s="26"/>
      <c r="U73" s="26"/>
    </row>
    <row r="74" spans="1:21" x14ac:dyDescent="0.3">
      <c r="A74" s="26"/>
      <c r="B74" s="29">
        <v>45053</v>
      </c>
      <c r="C74" s="28" t="s">
        <v>12</v>
      </c>
      <c r="D74" s="28" t="s">
        <v>69</v>
      </c>
      <c r="E74" s="28" t="s">
        <v>47</v>
      </c>
      <c r="F74" s="28" t="s">
        <v>45</v>
      </c>
      <c r="G74" s="28" t="s">
        <v>31</v>
      </c>
      <c r="H74" s="28" t="s">
        <v>86</v>
      </c>
      <c r="I74" s="28">
        <v>1850</v>
      </c>
      <c r="J74" s="28">
        <v>65000</v>
      </c>
      <c r="K74" s="28">
        <v>3250</v>
      </c>
      <c r="L74" s="28">
        <v>162</v>
      </c>
      <c r="M74" s="28">
        <v>0.05</v>
      </c>
      <c r="N74" s="28">
        <v>24375</v>
      </c>
      <c r="O74" s="28">
        <v>0.05</v>
      </c>
      <c r="P74" s="28">
        <v>0.56999999999999995</v>
      </c>
      <c r="Q74" s="28">
        <v>12.18</v>
      </c>
      <c r="R74" s="26"/>
      <c r="S74" s="26"/>
      <c r="T74" s="26"/>
      <c r="U74" s="26"/>
    </row>
    <row r="75" spans="1:21" x14ac:dyDescent="0.3">
      <c r="A75" s="26"/>
      <c r="B75" s="29">
        <v>45060</v>
      </c>
      <c r="C75" s="28" t="s">
        <v>12</v>
      </c>
      <c r="D75" s="28" t="s">
        <v>68</v>
      </c>
      <c r="E75" s="28" t="s">
        <v>47</v>
      </c>
      <c r="F75" s="28" t="s">
        <v>40</v>
      </c>
      <c r="G75" s="28" t="s">
        <v>30</v>
      </c>
      <c r="H75" s="28" t="s">
        <v>86</v>
      </c>
      <c r="I75" s="28">
        <v>6000</v>
      </c>
      <c r="J75" s="28">
        <v>62000</v>
      </c>
      <c r="K75" s="28">
        <v>1860</v>
      </c>
      <c r="L75" s="28">
        <v>93</v>
      </c>
      <c r="M75" s="28">
        <v>0.05</v>
      </c>
      <c r="N75" s="28">
        <v>23250</v>
      </c>
      <c r="O75" s="28">
        <v>0.03</v>
      </c>
      <c r="P75" s="28">
        <v>3.23</v>
      </c>
      <c r="Q75" s="28">
        <v>2.88</v>
      </c>
      <c r="R75" s="26"/>
      <c r="S75" s="26"/>
      <c r="T75" s="26"/>
      <c r="U75" s="26"/>
    </row>
    <row r="76" spans="1:21" x14ac:dyDescent="0.3">
      <c r="A76" s="26"/>
      <c r="B76" s="29">
        <v>45067</v>
      </c>
      <c r="C76" s="28" t="s">
        <v>13</v>
      </c>
      <c r="D76" s="28" t="s">
        <v>65</v>
      </c>
      <c r="E76" s="28" t="s">
        <v>47</v>
      </c>
      <c r="F76" s="28" t="s">
        <v>41</v>
      </c>
      <c r="G76" s="28" t="s">
        <v>32</v>
      </c>
      <c r="H76" s="28" t="s">
        <v>86</v>
      </c>
      <c r="I76" s="28">
        <v>2100</v>
      </c>
      <c r="J76" s="28">
        <v>75000</v>
      </c>
      <c r="K76" s="28">
        <v>3000</v>
      </c>
      <c r="L76" s="28">
        <v>150</v>
      </c>
      <c r="M76" s="28">
        <v>0.05</v>
      </c>
      <c r="N76" s="28">
        <v>22500</v>
      </c>
      <c r="O76" s="28">
        <v>0.04</v>
      </c>
      <c r="P76" s="28">
        <v>0.7</v>
      </c>
      <c r="Q76" s="28">
        <v>9.7100000000000009</v>
      </c>
      <c r="R76" s="26"/>
      <c r="S76" s="26"/>
      <c r="T76" s="26"/>
      <c r="U76" s="26"/>
    </row>
    <row r="77" spans="1:21" x14ac:dyDescent="0.3">
      <c r="A77" s="26"/>
      <c r="B77" s="29">
        <v>45074</v>
      </c>
      <c r="C77" s="28" t="s">
        <v>12</v>
      </c>
      <c r="D77" s="28" t="s">
        <v>77</v>
      </c>
      <c r="E77" s="28" t="s">
        <v>49</v>
      </c>
      <c r="F77" s="28" t="s">
        <v>40</v>
      </c>
      <c r="G77" s="28" t="s">
        <v>33</v>
      </c>
      <c r="H77" s="28" t="s">
        <v>86</v>
      </c>
      <c r="I77" s="28">
        <v>3300</v>
      </c>
      <c r="J77" s="28">
        <v>98000</v>
      </c>
      <c r="K77" s="28">
        <v>3920</v>
      </c>
      <c r="L77" s="28">
        <v>196</v>
      </c>
      <c r="M77" s="28">
        <v>0.05</v>
      </c>
      <c r="N77" s="28">
        <v>29400</v>
      </c>
      <c r="O77" s="28">
        <v>0.04</v>
      </c>
      <c r="P77" s="28">
        <v>0.84</v>
      </c>
      <c r="Q77" s="28">
        <v>7.91</v>
      </c>
      <c r="R77" s="26"/>
      <c r="S77" s="26"/>
      <c r="T77" s="26"/>
      <c r="U77" s="26"/>
    </row>
    <row r="78" spans="1:21" x14ac:dyDescent="0.3">
      <c r="A78" s="26"/>
      <c r="B78" s="29">
        <v>45081</v>
      </c>
      <c r="C78" s="28" t="s">
        <v>13</v>
      </c>
      <c r="D78" s="28" t="s">
        <v>83</v>
      </c>
      <c r="E78" s="28" t="s">
        <v>49</v>
      </c>
      <c r="F78" s="28" t="s">
        <v>41</v>
      </c>
      <c r="G78" s="28" t="s">
        <v>31</v>
      </c>
      <c r="H78" s="28" t="s">
        <v>86</v>
      </c>
      <c r="I78" s="28">
        <v>1400</v>
      </c>
      <c r="J78" s="28">
        <v>55000</v>
      </c>
      <c r="K78" s="28">
        <v>2750</v>
      </c>
      <c r="L78" s="28">
        <v>138</v>
      </c>
      <c r="M78" s="28">
        <v>0.05</v>
      </c>
      <c r="N78" s="28">
        <v>20625</v>
      </c>
      <c r="O78" s="28">
        <v>0.05</v>
      </c>
      <c r="P78" s="28">
        <v>0.51</v>
      </c>
      <c r="Q78" s="28">
        <v>13.73</v>
      </c>
      <c r="R78" s="26"/>
      <c r="S78" s="26"/>
      <c r="T78" s="26"/>
      <c r="U78" s="26"/>
    </row>
    <row r="79" spans="1:21" x14ac:dyDescent="0.3">
      <c r="A79" s="26"/>
      <c r="B79" s="29">
        <v>45088</v>
      </c>
      <c r="C79" s="28" t="s">
        <v>11</v>
      </c>
      <c r="D79" s="28" t="s">
        <v>72</v>
      </c>
      <c r="E79" s="28" t="s">
        <v>47</v>
      </c>
      <c r="F79" s="28" t="s">
        <v>45</v>
      </c>
      <c r="G79" s="28" t="s">
        <v>30</v>
      </c>
      <c r="H79" s="28" t="s">
        <v>86</v>
      </c>
      <c r="I79" s="28">
        <v>4800</v>
      </c>
      <c r="J79" s="28">
        <v>52000</v>
      </c>
      <c r="K79" s="28">
        <v>1560</v>
      </c>
      <c r="L79" s="28">
        <v>78</v>
      </c>
      <c r="M79" s="28">
        <v>0.05</v>
      </c>
      <c r="N79" s="28">
        <v>19500</v>
      </c>
      <c r="O79" s="28">
        <v>0.03</v>
      </c>
      <c r="P79" s="28">
        <v>3.08</v>
      </c>
      <c r="Q79" s="28">
        <v>3.06</v>
      </c>
      <c r="R79" s="26"/>
      <c r="S79" s="26"/>
      <c r="T79" s="26"/>
      <c r="U79" s="26"/>
    </row>
    <row r="80" spans="1:21" x14ac:dyDescent="0.3">
      <c r="A80" s="26"/>
      <c r="B80" s="29">
        <v>45095</v>
      </c>
      <c r="C80" s="28" t="s">
        <v>12</v>
      </c>
      <c r="D80" s="28" t="s">
        <v>66</v>
      </c>
      <c r="E80" s="28" t="s">
        <v>48</v>
      </c>
      <c r="F80" s="28" t="s">
        <v>45</v>
      </c>
      <c r="G80" s="28" t="s">
        <v>31</v>
      </c>
      <c r="H80" s="28" t="s">
        <v>86</v>
      </c>
      <c r="I80" s="28">
        <v>1950</v>
      </c>
      <c r="J80" s="28">
        <v>68000</v>
      </c>
      <c r="K80" s="28">
        <v>3400</v>
      </c>
      <c r="L80" s="28">
        <v>170</v>
      </c>
      <c r="M80" s="28">
        <v>0.05</v>
      </c>
      <c r="N80" s="28">
        <v>25500</v>
      </c>
      <c r="O80" s="28">
        <v>0.05</v>
      </c>
      <c r="P80" s="28">
        <v>0.56999999999999995</v>
      </c>
      <c r="Q80" s="28">
        <v>12.08</v>
      </c>
      <c r="R80" s="26"/>
      <c r="S80" s="26"/>
      <c r="T80" s="26"/>
      <c r="U80" s="26"/>
    </row>
    <row r="81" spans="1:21" x14ac:dyDescent="0.3">
      <c r="A81" s="26"/>
      <c r="B81" s="29">
        <v>45102</v>
      </c>
      <c r="C81" s="28" t="s">
        <v>12</v>
      </c>
      <c r="D81" s="28" t="s">
        <v>81</v>
      </c>
      <c r="E81" s="28" t="s">
        <v>48</v>
      </c>
      <c r="F81" s="28" t="s">
        <v>40</v>
      </c>
      <c r="G81" s="28" t="s">
        <v>32</v>
      </c>
      <c r="H81" s="28" t="s">
        <v>86</v>
      </c>
      <c r="I81" s="28">
        <v>3550</v>
      </c>
      <c r="J81" s="28">
        <v>115000</v>
      </c>
      <c r="K81" s="28">
        <v>4600</v>
      </c>
      <c r="L81" s="28">
        <v>230</v>
      </c>
      <c r="M81" s="28">
        <v>0.05</v>
      </c>
      <c r="N81" s="28">
        <v>34500</v>
      </c>
      <c r="O81" s="28">
        <v>0.04</v>
      </c>
      <c r="P81" s="28">
        <v>0.77</v>
      </c>
      <c r="Q81" s="28">
        <v>8.7200000000000006</v>
      </c>
      <c r="R81" s="26"/>
      <c r="S81" s="26"/>
      <c r="T81" s="26"/>
      <c r="U81" s="26"/>
    </row>
    <row r="82" spans="1:21" x14ac:dyDescent="0.3">
      <c r="A82" s="26"/>
      <c r="B82" s="29">
        <v>45109</v>
      </c>
      <c r="C82" s="28" t="s">
        <v>12</v>
      </c>
      <c r="D82" s="28" t="s">
        <v>75</v>
      </c>
      <c r="E82" s="28" t="s">
        <v>47</v>
      </c>
      <c r="F82" s="28" t="s">
        <v>45</v>
      </c>
      <c r="G82" s="28" t="s">
        <v>33</v>
      </c>
      <c r="H82" s="28" t="s">
        <v>87</v>
      </c>
      <c r="I82" s="28">
        <v>2900</v>
      </c>
      <c r="J82" s="28">
        <v>87000</v>
      </c>
      <c r="K82" s="28">
        <v>3480</v>
      </c>
      <c r="L82" s="28">
        <v>174</v>
      </c>
      <c r="M82" s="28">
        <v>0.05</v>
      </c>
      <c r="N82" s="28">
        <v>26100</v>
      </c>
      <c r="O82" s="28">
        <v>0.04</v>
      </c>
      <c r="P82" s="28">
        <v>0.83</v>
      </c>
      <c r="Q82" s="28">
        <v>8</v>
      </c>
      <c r="R82" s="26"/>
      <c r="S82" s="26"/>
      <c r="T82" s="26"/>
      <c r="U82" s="26"/>
    </row>
    <row r="83" spans="1:21" x14ac:dyDescent="0.3">
      <c r="A83" s="26"/>
      <c r="B83" s="29">
        <v>45116</v>
      </c>
      <c r="C83" s="28" t="s">
        <v>13</v>
      </c>
      <c r="D83" s="28" t="s">
        <v>84</v>
      </c>
      <c r="E83" s="28" t="s">
        <v>48</v>
      </c>
      <c r="F83" s="28" t="s">
        <v>37</v>
      </c>
      <c r="G83" s="28" t="s">
        <v>30</v>
      </c>
      <c r="H83" s="28" t="s">
        <v>87</v>
      </c>
      <c r="I83" s="28">
        <v>5200</v>
      </c>
      <c r="J83" s="28">
        <v>54000</v>
      </c>
      <c r="K83" s="28">
        <v>1620</v>
      </c>
      <c r="L83" s="28">
        <v>81</v>
      </c>
      <c r="M83" s="28">
        <v>0.05</v>
      </c>
      <c r="N83" s="28">
        <v>20250</v>
      </c>
      <c r="O83" s="28">
        <v>0.03</v>
      </c>
      <c r="P83" s="28">
        <v>3.21</v>
      </c>
      <c r="Q83" s="28">
        <v>2.89</v>
      </c>
      <c r="R83" s="26"/>
      <c r="S83" s="26"/>
      <c r="T83" s="26"/>
      <c r="U83" s="26"/>
    </row>
    <row r="84" spans="1:21" x14ac:dyDescent="0.3">
      <c r="A84" s="26"/>
      <c r="B84" s="29">
        <v>45123</v>
      </c>
      <c r="C84" s="28" t="s">
        <v>12</v>
      </c>
      <c r="D84" s="28" t="s">
        <v>70</v>
      </c>
      <c r="E84" s="28" t="s">
        <v>49</v>
      </c>
      <c r="F84" s="28" t="s">
        <v>40</v>
      </c>
      <c r="G84" s="28" t="s">
        <v>31</v>
      </c>
      <c r="H84" s="28" t="s">
        <v>87</v>
      </c>
      <c r="I84" s="28">
        <v>2300</v>
      </c>
      <c r="J84" s="28">
        <v>74000</v>
      </c>
      <c r="K84" s="28">
        <v>3700</v>
      </c>
      <c r="L84" s="28">
        <v>185</v>
      </c>
      <c r="M84" s="28">
        <v>0.05</v>
      </c>
      <c r="N84" s="28">
        <v>27750</v>
      </c>
      <c r="O84" s="28">
        <v>0.05</v>
      </c>
      <c r="P84" s="28">
        <v>0.62</v>
      </c>
      <c r="Q84" s="28">
        <v>11.07</v>
      </c>
      <c r="R84" s="26"/>
      <c r="S84" s="26"/>
      <c r="T84" s="26"/>
      <c r="U84" s="26"/>
    </row>
    <row r="85" spans="1:21" x14ac:dyDescent="0.3">
      <c r="A85" s="26"/>
      <c r="B85" s="29">
        <v>45130</v>
      </c>
      <c r="C85" s="28" t="s">
        <v>12</v>
      </c>
      <c r="D85" s="28" t="s">
        <v>80</v>
      </c>
      <c r="E85" s="28" t="s">
        <v>48</v>
      </c>
      <c r="F85" s="28" t="s">
        <v>40</v>
      </c>
      <c r="G85" s="28" t="s">
        <v>32</v>
      </c>
      <c r="H85" s="28" t="s">
        <v>87</v>
      </c>
      <c r="I85" s="28">
        <v>2600</v>
      </c>
      <c r="J85" s="28">
        <v>85000</v>
      </c>
      <c r="K85" s="28">
        <v>3400</v>
      </c>
      <c r="L85" s="28">
        <v>170</v>
      </c>
      <c r="M85" s="28">
        <v>0.05</v>
      </c>
      <c r="N85" s="28">
        <v>25500</v>
      </c>
      <c r="O85" s="28">
        <v>0.04</v>
      </c>
      <c r="P85" s="28">
        <v>0.76</v>
      </c>
      <c r="Q85" s="28">
        <v>8.81</v>
      </c>
      <c r="R85" s="26"/>
      <c r="S85" s="26"/>
      <c r="T85" s="26"/>
      <c r="U85" s="26"/>
    </row>
    <row r="86" spans="1:21" x14ac:dyDescent="0.3">
      <c r="A86" s="26"/>
      <c r="B86" s="29">
        <v>45137</v>
      </c>
      <c r="C86" s="28" t="s">
        <v>12</v>
      </c>
      <c r="D86" s="28" t="s">
        <v>77</v>
      </c>
      <c r="E86" s="28" t="s">
        <v>49</v>
      </c>
      <c r="F86" s="28" t="s">
        <v>40</v>
      </c>
      <c r="G86" s="28" t="s">
        <v>31</v>
      </c>
      <c r="H86" s="28" t="s">
        <v>87</v>
      </c>
      <c r="I86" s="28">
        <v>1600</v>
      </c>
      <c r="J86" s="28">
        <v>62000</v>
      </c>
      <c r="K86" s="28">
        <v>3100</v>
      </c>
      <c r="L86" s="28">
        <v>155</v>
      </c>
      <c r="M86" s="28">
        <v>0.05</v>
      </c>
      <c r="N86" s="28">
        <v>23250</v>
      </c>
      <c r="O86" s="28">
        <v>0.05</v>
      </c>
      <c r="P86" s="28">
        <v>0.52</v>
      </c>
      <c r="Q86" s="28">
        <v>13.53</v>
      </c>
      <c r="R86" s="26"/>
      <c r="S86" s="26"/>
      <c r="T86" s="26"/>
      <c r="U86" s="26"/>
    </row>
    <row r="87" spans="1:21" x14ac:dyDescent="0.3">
      <c r="A87" s="26"/>
      <c r="B87" s="29">
        <v>45144</v>
      </c>
      <c r="C87" s="28" t="s">
        <v>11</v>
      </c>
      <c r="D87" s="28" t="s">
        <v>83</v>
      </c>
      <c r="E87" s="28" t="s">
        <v>49</v>
      </c>
      <c r="F87" s="28" t="s">
        <v>45</v>
      </c>
      <c r="G87" s="28" t="s">
        <v>33</v>
      </c>
      <c r="H87" s="28" t="s">
        <v>87</v>
      </c>
      <c r="I87" s="28">
        <v>3700</v>
      </c>
      <c r="J87" s="28">
        <v>102000</v>
      </c>
      <c r="K87" s="28">
        <v>4080</v>
      </c>
      <c r="L87" s="28">
        <v>204</v>
      </c>
      <c r="M87" s="28">
        <v>0.05</v>
      </c>
      <c r="N87" s="28">
        <v>30600</v>
      </c>
      <c r="O87" s="28">
        <v>0.04</v>
      </c>
      <c r="P87" s="28">
        <v>0.91</v>
      </c>
      <c r="Q87" s="28">
        <v>7.27</v>
      </c>
      <c r="R87" s="26"/>
      <c r="S87" s="26"/>
      <c r="T87" s="26"/>
      <c r="U87" s="26"/>
    </row>
    <row r="88" spans="1:21" x14ac:dyDescent="0.3">
      <c r="A88" s="26"/>
      <c r="B88" s="29">
        <v>45151</v>
      </c>
      <c r="C88" s="28" t="s">
        <v>12</v>
      </c>
      <c r="D88" s="28" t="s">
        <v>79</v>
      </c>
      <c r="E88" s="28" t="s">
        <v>47</v>
      </c>
      <c r="F88" s="28" t="s">
        <v>45</v>
      </c>
      <c r="G88" s="28" t="s">
        <v>30</v>
      </c>
      <c r="H88" s="28" t="s">
        <v>87</v>
      </c>
      <c r="I88" s="28">
        <v>5600</v>
      </c>
      <c r="J88" s="28">
        <v>58000</v>
      </c>
      <c r="K88" s="28">
        <v>1740</v>
      </c>
      <c r="L88" s="28">
        <v>87</v>
      </c>
      <c r="M88" s="28">
        <v>0.05</v>
      </c>
      <c r="N88" s="28">
        <v>21750</v>
      </c>
      <c r="O88" s="28">
        <v>0.03</v>
      </c>
      <c r="P88" s="28">
        <v>3.22</v>
      </c>
      <c r="Q88" s="28">
        <v>2.88</v>
      </c>
      <c r="R88" s="26"/>
      <c r="S88" s="26"/>
      <c r="T88" s="26"/>
      <c r="U88" s="26"/>
    </row>
    <row r="89" spans="1:21" x14ac:dyDescent="0.3">
      <c r="A89" s="26"/>
      <c r="B89" s="29">
        <v>45158</v>
      </c>
      <c r="C89" s="28" t="s">
        <v>12</v>
      </c>
      <c r="D89" s="28" t="s">
        <v>82</v>
      </c>
      <c r="E89" s="28" t="s">
        <v>47</v>
      </c>
      <c r="F89" s="28" t="s">
        <v>40</v>
      </c>
      <c r="G89" s="28" t="s">
        <v>32</v>
      </c>
      <c r="H89" s="28" t="s">
        <v>87</v>
      </c>
      <c r="I89" s="28">
        <v>3200</v>
      </c>
      <c r="J89" s="28">
        <v>100000</v>
      </c>
      <c r="K89" s="28">
        <v>4000</v>
      </c>
      <c r="L89" s="28">
        <v>200</v>
      </c>
      <c r="M89" s="28">
        <v>0.05</v>
      </c>
      <c r="N89" s="28">
        <v>30000</v>
      </c>
      <c r="O89" s="28">
        <v>0.04</v>
      </c>
      <c r="P89" s="28">
        <v>0.8</v>
      </c>
      <c r="Q89" s="28">
        <v>8.3800000000000008</v>
      </c>
      <c r="R89" s="26"/>
      <c r="S89" s="26"/>
      <c r="T89" s="26"/>
      <c r="U89" s="26"/>
    </row>
    <row r="90" spans="1:21" x14ac:dyDescent="0.3">
      <c r="A90" s="26"/>
      <c r="B90" s="29">
        <v>45165</v>
      </c>
      <c r="C90" s="28" t="s">
        <v>11</v>
      </c>
      <c r="D90" s="28" t="s">
        <v>82</v>
      </c>
      <c r="E90" s="28" t="s">
        <v>47</v>
      </c>
      <c r="F90" s="28" t="s">
        <v>41</v>
      </c>
      <c r="G90" s="28" t="s">
        <v>33</v>
      </c>
      <c r="H90" s="28" t="s">
        <v>87</v>
      </c>
      <c r="I90" s="28">
        <v>2800</v>
      </c>
      <c r="J90" s="28">
        <v>84000</v>
      </c>
      <c r="K90" s="28">
        <v>3360</v>
      </c>
      <c r="L90" s="28">
        <v>168</v>
      </c>
      <c r="M90" s="28">
        <v>0.05</v>
      </c>
      <c r="N90" s="28">
        <v>25200</v>
      </c>
      <c r="O90" s="28">
        <v>0.04</v>
      </c>
      <c r="P90" s="28">
        <v>0.83</v>
      </c>
      <c r="Q90" s="28">
        <v>8</v>
      </c>
      <c r="R90" s="26"/>
      <c r="S90" s="26"/>
      <c r="T90" s="26"/>
      <c r="U90" s="26"/>
    </row>
    <row r="91" spans="1:21" x14ac:dyDescent="0.3">
      <c r="A91" s="26"/>
      <c r="B91" s="29">
        <v>45172</v>
      </c>
      <c r="C91" s="28" t="s">
        <v>12</v>
      </c>
      <c r="D91" s="28" t="s">
        <v>84</v>
      </c>
      <c r="E91" s="28" t="s">
        <v>48</v>
      </c>
      <c r="F91" s="28" t="s">
        <v>45</v>
      </c>
      <c r="G91" s="28" t="s">
        <v>31</v>
      </c>
      <c r="H91" s="28" t="s">
        <v>87</v>
      </c>
      <c r="I91" s="28">
        <v>1900</v>
      </c>
      <c r="J91" s="28">
        <v>67000</v>
      </c>
      <c r="K91" s="28">
        <v>3350</v>
      </c>
      <c r="L91" s="28">
        <v>168</v>
      </c>
      <c r="M91" s="28">
        <v>0.05</v>
      </c>
      <c r="N91" s="28">
        <v>25125</v>
      </c>
      <c r="O91" s="28">
        <v>0.05</v>
      </c>
      <c r="P91" s="28">
        <v>0.56999999999999995</v>
      </c>
      <c r="Q91" s="28">
        <v>12.22</v>
      </c>
      <c r="R91" s="26"/>
      <c r="S91" s="26"/>
      <c r="T91" s="26"/>
      <c r="U91" s="26"/>
    </row>
    <row r="92" spans="1:21" x14ac:dyDescent="0.3">
      <c r="A92" s="26"/>
      <c r="B92" s="29">
        <v>45179</v>
      </c>
      <c r="C92" s="28" t="s">
        <v>11</v>
      </c>
      <c r="D92" s="28" t="s">
        <v>79</v>
      </c>
      <c r="E92" s="28" t="s">
        <v>47</v>
      </c>
      <c r="F92" s="28" t="s">
        <v>41</v>
      </c>
      <c r="G92" s="28" t="s">
        <v>30</v>
      </c>
      <c r="H92" s="28" t="s">
        <v>87</v>
      </c>
      <c r="I92" s="28">
        <v>4900</v>
      </c>
      <c r="J92" s="28">
        <v>53000</v>
      </c>
      <c r="K92" s="28">
        <v>1590</v>
      </c>
      <c r="L92" s="28">
        <v>80</v>
      </c>
      <c r="M92" s="28">
        <v>0.05</v>
      </c>
      <c r="N92" s="28">
        <v>19875</v>
      </c>
      <c r="O92" s="28">
        <v>0.03</v>
      </c>
      <c r="P92" s="28">
        <v>3.08</v>
      </c>
      <c r="Q92" s="28">
        <v>3.06</v>
      </c>
      <c r="R92" s="26"/>
      <c r="S92" s="26"/>
      <c r="T92" s="26"/>
      <c r="U92" s="26"/>
    </row>
    <row r="93" spans="1:21" x14ac:dyDescent="0.3">
      <c r="A93" s="26"/>
      <c r="B93" s="29">
        <v>45186</v>
      </c>
      <c r="C93" s="28" t="s">
        <v>11</v>
      </c>
      <c r="D93" s="28" t="s">
        <v>83</v>
      </c>
      <c r="E93" s="28" t="s">
        <v>49</v>
      </c>
      <c r="F93" s="28" t="s">
        <v>44</v>
      </c>
      <c r="G93" s="28" t="s">
        <v>31</v>
      </c>
      <c r="H93" s="28" t="s">
        <v>87</v>
      </c>
      <c r="I93" s="28">
        <v>2450</v>
      </c>
      <c r="J93" s="28">
        <v>76000</v>
      </c>
      <c r="K93" s="28">
        <v>3800</v>
      </c>
      <c r="L93" s="28">
        <v>190</v>
      </c>
      <c r="M93" s="28">
        <v>0.05</v>
      </c>
      <c r="N93" s="28">
        <v>28500</v>
      </c>
      <c r="O93" s="28">
        <v>0.05</v>
      </c>
      <c r="P93" s="28">
        <v>0.64</v>
      </c>
      <c r="Q93" s="28">
        <v>10.63</v>
      </c>
      <c r="R93" s="26"/>
      <c r="S93" s="26"/>
      <c r="T93" s="26"/>
      <c r="U93" s="26"/>
    </row>
    <row r="94" spans="1:21" x14ac:dyDescent="0.3">
      <c r="A94" s="26"/>
      <c r="B94" s="29">
        <v>45193</v>
      </c>
      <c r="C94" s="28" t="s">
        <v>12</v>
      </c>
      <c r="D94" s="28" t="s">
        <v>78</v>
      </c>
      <c r="E94" s="28" t="s">
        <v>48</v>
      </c>
      <c r="F94" s="28" t="s">
        <v>41</v>
      </c>
      <c r="G94" s="28" t="s">
        <v>32</v>
      </c>
      <c r="H94" s="28" t="s">
        <v>87</v>
      </c>
      <c r="I94" s="28">
        <v>2150</v>
      </c>
      <c r="J94" s="28">
        <v>78000</v>
      </c>
      <c r="K94" s="28">
        <v>3120</v>
      </c>
      <c r="L94" s="28">
        <v>156</v>
      </c>
      <c r="M94" s="28">
        <v>0.05</v>
      </c>
      <c r="N94" s="28">
        <v>23400</v>
      </c>
      <c r="O94" s="28">
        <v>0.04</v>
      </c>
      <c r="P94" s="28">
        <v>0.69</v>
      </c>
      <c r="Q94" s="28">
        <v>9.8800000000000008</v>
      </c>
      <c r="R94" s="26"/>
      <c r="S94" s="26"/>
      <c r="T94" s="26"/>
      <c r="U94" s="26"/>
    </row>
    <row r="95" spans="1:21" x14ac:dyDescent="0.3">
      <c r="A95" s="26"/>
      <c r="B95" s="29">
        <v>45200</v>
      </c>
      <c r="C95" s="28" t="s">
        <v>13</v>
      </c>
      <c r="D95" s="28" t="s">
        <v>72</v>
      </c>
      <c r="E95" s="28" t="s">
        <v>47</v>
      </c>
      <c r="F95" s="28" t="s">
        <v>40</v>
      </c>
      <c r="G95" s="28" t="s">
        <v>33</v>
      </c>
      <c r="H95" s="28" t="s">
        <v>88</v>
      </c>
      <c r="I95" s="28">
        <v>3500</v>
      </c>
      <c r="J95" s="28">
        <v>100000</v>
      </c>
      <c r="K95" s="28">
        <v>4000</v>
      </c>
      <c r="L95" s="28">
        <v>200</v>
      </c>
      <c r="M95" s="28">
        <v>0.05</v>
      </c>
      <c r="N95" s="28">
        <v>30000</v>
      </c>
      <c r="O95" s="28">
        <v>0.04</v>
      </c>
      <c r="P95" s="28">
        <v>0.88</v>
      </c>
      <c r="Q95" s="28">
        <v>7.57</v>
      </c>
      <c r="R95" s="26"/>
      <c r="S95" s="26"/>
      <c r="T95" s="26"/>
      <c r="U95" s="26"/>
    </row>
    <row r="96" spans="1:21" x14ac:dyDescent="0.3">
      <c r="A96" s="26"/>
      <c r="B96" s="29">
        <v>45207</v>
      </c>
      <c r="C96" s="28" t="s">
        <v>12</v>
      </c>
      <c r="D96" s="28" t="s">
        <v>81</v>
      </c>
      <c r="E96" s="28" t="s">
        <v>48</v>
      </c>
      <c r="F96" s="28" t="s">
        <v>41</v>
      </c>
      <c r="G96" s="28" t="s">
        <v>30</v>
      </c>
      <c r="H96" s="28" t="s">
        <v>88</v>
      </c>
      <c r="I96" s="28">
        <v>5300</v>
      </c>
      <c r="J96" s="28">
        <v>56000</v>
      </c>
      <c r="K96" s="28">
        <v>1680</v>
      </c>
      <c r="L96" s="28">
        <v>84</v>
      </c>
      <c r="M96" s="28">
        <v>0.05</v>
      </c>
      <c r="N96" s="28">
        <v>21000</v>
      </c>
      <c r="O96" s="28">
        <v>0.03</v>
      </c>
      <c r="P96" s="28">
        <v>3.15</v>
      </c>
      <c r="Q96" s="28">
        <v>2.96</v>
      </c>
      <c r="R96" s="26"/>
      <c r="S96" s="26"/>
      <c r="T96" s="26"/>
      <c r="U96" s="26"/>
    </row>
    <row r="97" spans="1:21" x14ac:dyDescent="0.3">
      <c r="A97" s="26"/>
      <c r="B97" s="29">
        <v>45214</v>
      </c>
      <c r="C97" s="28" t="s">
        <v>11</v>
      </c>
      <c r="D97" s="28" t="s">
        <v>75</v>
      </c>
      <c r="E97" s="28" t="s">
        <v>47</v>
      </c>
      <c r="F97" s="28" t="s">
        <v>37</v>
      </c>
      <c r="G97" s="28" t="s">
        <v>31</v>
      </c>
      <c r="H97" s="28" t="s">
        <v>88</v>
      </c>
      <c r="I97" s="28">
        <v>2050</v>
      </c>
      <c r="J97" s="28">
        <v>69000</v>
      </c>
      <c r="K97" s="28">
        <v>3450</v>
      </c>
      <c r="L97" s="28">
        <v>172</v>
      </c>
      <c r="M97" s="28">
        <v>0.05</v>
      </c>
      <c r="N97" s="28">
        <v>25875</v>
      </c>
      <c r="O97" s="28">
        <v>0.05</v>
      </c>
      <c r="P97" s="28">
        <v>0.59</v>
      </c>
      <c r="Q97" s="28">
        <v>11.62</v>
      </c>
      <c r="R97" s="26"/>
      <c r="S97" s="26"/>
      <c r="T97" s="26"/>
      <c r="U97" s="26"/>
    </row>
    <row r="98" spans="1:21" x14ac:dyDescent="0.3">
      <c r="A98" s="26"/>
      <c r="B98" s="29">
        <v>45221</v>
      </c>
      <c r="C98" s="28" t="s">
        <v>12</v>
      </c>
      <c r="D98" s="28" t="s">
        <v>84</v>
      </c>
      <c r="E98" s="28" t="s">
        <v>48</v>
      </c>
      <c r="F98" s="28" t="s">
        <v>45</v>
      </c>
      <c r="G98" s="28" t="s">
        <v>32</v>
      </c>
      <c r="H98" s="28" t="s">
        <v>88</v>
      </c>
      <c r="I98" s="28">
        <v>2900</v>
      </c>
      <c r="J98" s="28">
        <v>93000</v>
      </c>
      <c r="K98" s="28">
        <v>3720</v>
      </c>
      <c r="L98" s="28">
        <v>186</v>
      </c>
      <c r="M98" s="28">
        <v>0.05</v>
      </c>
      <c r="N98" s="28">
        <v>27900</v>
      </c>
      <c r="O98" s="28">
        <v>0.04</v>
      </c>
      <c r="P98" s="28">
        <v>0.78</v>
      </c>
      <c r="Q98" s="28">
        <v>8.6199999999999992</v>
      </c>
      <c r="R98" s="26"/>
      <c r="S98" s="26"/>
      <c r="T98" s="26"/>
      <c r="U98" s="26"/>
    </row>
    <row r="99" spans="1:21" x14ac:dyDescent="0.3">
      <c r="A99" s="26"/>
      <c r="B99" s="29">
        <v>45228</v>
      </c>
      <c r="C99" s="28" t="s">
        <v>13</v>
      </c>
      <c r="D99" s="28" t="s">
        <v>71</v>
      </c>
      <c r="E99" s="28" t="s">
        <v>48</v>
      </c>
      <c r="F99" s="28" t="s">
        <v>34</v>
      </c>
      <c r="G99" s="28" t="s">
        <v>31</v>
      </c>
      <c r="H99" s="28" t="s">
        <v>88</v>
      </c>
      <c r="I99" s="28">
        <v>1700</v>
      </c>
      <c r="J99" s="28">
        <v>64000</v>
      </c>
      <c r="K99" s="28">
        <v>3200</v>
      </c>
      <c r="L99" s="28">
        <v>160</v>
      </c>
      <c r="M99" s="28">
        <v>0.05</v>
      </c>
      <c r="N99" s="28">
        <v>24000</v>
      </c>
      <c r="O99" s="28">
        <v>0.05</v>
      </c>
      <c r="P99" s="28">
        <v>0.53</v>
      </c>
      <c r="Q99" s="28">
        <v>13.12</v>
      </c>
      <c r="R99" s="26"/>
      <c r="S99" s="26"/>
      <c r="T99" s="26"/>
      <c r="U99" s="26"/>
    </row>
    <row r="100" spans="1:21" x14ac:dyDescent="0.3">
      <c r="A100" s="26"/>
      <c r="B100" s="29">
        <v>45235</v>
      </c>
      <c r="C100" s="28" t="s">
        <v>10</v>
      </c>
      <c r="D100" s="28" t="s">
        <v>83</v>
      </c>
      <c r="E100" s="28" t="s">
        <v>49</v>
      </c>
      <c r="F100" s="28" t="s">
        <v>40</v>
      </c>
      <c r="G100" s="28" t="s">
        <v>33</v>
      </c>
      <c r="H100" s="28" t="s">
        <v>88</v>
      </c>
      <c r="I100" s="28">
        <v>3800</v>
      </c>
      <c r="J100" s="28">
        <v>104000</v>
      </c>
      <c r="K100" s="28">
        <v>4160</v>
      </c>
      <c r="L100" s="28">
        <v>208</v>
      </c>
      <c r="M100" s="28">
        <v>0.05</v>
      </c>
      <c r="N100" s="28">
        <v>31200</v>
      </c>
      <c r="O100" s="28">
        <v>0.04</v>
      </c>
      <c r="P100" s="28">
        <v>0.91</v>
      </c>
      <c r="Q100" s="28">
        <v>7.21</v>
      </c>
      <c r="R100" s="26"/>
      <c r="S100" s="26"/>
      <c r="T100" s="26"/>
      <c r="U100" s="26"/>
    </row>
    <row r="101" spans="1:21" x14ac:dyDescent="0.3">
      <c r="A101" s="26"/>
      <c r="B101" s="29">
        <v>45242</v>
      </c>
      <c r="C101" s="28" t="s">
        <v>10</v>
      </c>
      <c r="D101" s="28" t="s">
        <v>73</v>
      </c>
      <c r="E101" s="28" t="s">
        <v>47</v>
      </c>
      <c r="F101" s="28" t="s">
        <v>45</v>
      </c>
      <c r="G101" s="28" t="s">
        <v>30</v>
      </c>
      <c r="H101" s="28" t="s">
        <v>88</v>
      </c>
      <c r="I101" s="28">
        <v>5700</v>
      </c>
      <c r="J101" s="28">
        <v>59000</v>
      </c>
      <c r="K101" s="28">
        <v>1770</v>
      </c>
      <c r="L101" s="28">
        <v>88</v>
      </c>
      <c r="M101" s="28">
        <v>0.05</v>
      </c>
      <c r="N101" s="28">
        <v>22125</v>
      </c>
      <c r="O101" s="28">
        <v>0.03</v>
      </c>
      <c r="P101" s="28">
        <v>3.22</v>
      </c>
      <c r="Q101" s="28">
        <v>2.88</v>
      </c>
      <c r="R101" s="26"/>
      <c r="S101" s="26"/>
      <c r="T101" s="26"/>
      <c r="U101" s="26"/>
    </row>
    <row r="102" spans="1:21" x14ac:dyDescent="0.3">
      <c r="A102" s="26"/>
      <c r="B102" s="29">
        <v>45249</v>
      </c>
      <c r="C102" s="28" t="s">
        <v>10</v>
      </c>
      <c r="D102" s="28" t="s">
        <v>75</v>
      </c>
      <c r="E102" s="28" t="s">
        <v>47</v>
      </c>
      <c r="F102" s="28" t="s">
        <v>42</v>
      </c>
      <c r="G102" s="28" t="s">
        <v>32</v>
      </c>
      <c r="H102" s="28" t="s">
        <v>88</v>
      </c>
      <c r="I102" s="28">
        <v>2400</v>
      </c>
      <c r="J102" s="28">
        <v>82000</v>
      </c>
      <c r="K102" s="28">
        <v>3280</v>
      </c>
      <c r="L102" s="28">
        <v>164</v>
      </c>
      <c r="M102" s="28">
        <v>0.05</v>
      </c>
      <c r="N102" s="28">
        <v>24600</v>
      </c>
      <c r="O102" s="28">
        <v>0.04</v>
      </c>
      <c r="P102" s="28">
        <v>0.73</v>
      </c>
      <c r="Q102" s="28">
        <v>9.25</v>
      </c>
      <c r="R102" s="26"/>
      <c r="S102" s="26"/>
      <c r="T102" s="26"/>
      <c r="U102" s="26"/>
    </row>
    <row r="103" spans="1:21" x14ac:dyDescent="0.3">
      <c r="A103" s="26"/>
      <c r="B103" s="29">
        <v>45256</v>
      </c>
      <c r="C103" s="28" t="s">
        <v>10</v>
      </c>
      <c r="D103" s="28" t="s">
        <v>77</v>
      </c>
      <c r="E103" s="28" t="s">
        <v>49</v>
      </c>
      <c r="F103" s="28" t="s">
        <v>41</v>
      </c>
      <c r="G103" s="28" t="s">
        <v>33</v>
      </c>
      <c r="H103" s="28" t="s">
        <v>88</v>
      </c>
      <c r="I103" s="28">
        <v>3100</v>
      </c>
      <c r="J103" s="28">
        <v>94000</v>
      </c>
      <c r="K103" s="28">
        <v>3760</v>
      </c>
      <c r="L103" s="28">
        <v>188</v>
      </c>
      <c r="M103" s="28">
        <v>0.05</v>
      </c>
      <c r="N103" s="28">
        <v>28200</v>
      </c>
      <c r="O103" s="28">
        <v>0.04</v>
      </c>
      <c r="P103" s="28">
        <v>0.82</v>
      </c>
      <c r="Q103" s="28">
        <v>8.1</v>
      </c>
      <c r="R103" s="26"/>
      <c r="S103" s="26"/>
      <c r="T103" s="26"/>
      <c r="U103" s="26"/>
    </row>
    <row r="104" spans="1:21" x14ac:dyDescent="0.3">
      <c r="A104" s="26"/>
      <c r="B104" s="29">
        <v>45263</v>
      </c>
      <c r="C104" s="28" t="s">
        <v>13</v>
      </c>
      <c r="D104" s="28" t="s">
        <v>74</v>
      </c>
      <c r="E104" s="28" t="s">
        <v>49</v>
      </c>
      <c r="F104" s="28" t="s">
        <v>45</v>
      </c>
      <c r="G104" s="28" t="s">
        <v>31</v>
      </c>
      <c r="H104" s="28" t="s">
        <v>88</v>
      </c>
      <c r="I104" s="28">
        <v>2250</v>
      </c>
      <c r="J104" s="28">
        <v>73000</v>
      </c>
      <c r="K104" s="28">
        <v>3650</v>
      </c>
      <c r="L104" s="28">
        <v>182</v>
      </c>
      <c r="M104" s="28">
        <v>0.05</v>
      </c>
      <c r="N104" s="28">
        <v>27375</v>
      </c>
      <c r="O104" s="28">
        <v>0.05</v>
      </c>
      <c r="P104" s="28">
        <v>0.62</v>
      </c>
      <c r="Q104" s="28">
        <v>11.17</v>
      </c>
      <c r="R104" s="26"/>
      <c r="S104" s="26"/>
      <c r="T104" s="26"/>
      <c r="U104" s="26"/>
    </row>
    <row r="105" spans="1:21" x14ac:dyDescent="0.3">
      <c r="A105" s="26"/>
      <c r="B105" s="29">
        <v>45270</v>
      </c>
      <c r="C105" s="28" t="s">
        <v>13</v>
      </c>
      <c r="D105" s="28" t="s">
        <v>81</v>
      </c>
      <c r="E105" s="28" t="s">
        <v>48</v>
      </c>
      <c r="F105" s="28" t="s">
        <v>45</v>
      </c>
      <c r="G105" s="28" t="s">
        <v>30</v>
      </c>
      <c r="H105" s="28" t="s">
        <v>88</v>
      </c>
      <c r="I105" s="28">
        <v>5500</v>
      </c>
      <c r="J105" s="28">
        <v>57000</v>
      </c>
      <c r="K105" s="28">
        <v>1710</v>
      </c>
      <c r="L105" s="28">
        <v>86</v>
      </c>
      <c r="M105" s="28">
        <v>0.05</v>
      </c>
      <c r="N105" s="28">
        <v>21375</v>
      </c>
      <c r="O105" s="28">
        <v>0.03</v>
      </c>
      <c r="P105" s="28">
        <v>3.22</v>
      </c>
      <c r="Q105" s="28">
        <v>2.89</v>
      </c>
      <c r="R105" s="26"/>
      <c r="S105" s="26"/>
      <c r="T105" s="26"/>
      <c r="U105" s="26"/>
    </row>
    <row r="106" spans="1:21" x14ac:dyDescent="0.3">
      <c r="A106" s="26"/>
      <c r="B106" s="29">
        <v>45277</v>
      </c>
      <c r="C106" s="28" t="s">
        <v>10</v>
      </c>
      <c r="D106" s="28" t="s">
        <v>77</v>
      </c>
      <c r="E106" s="28" t="s">
        <v>49</v>
      </c>
      <c r="F106" s="28" t="s">
        <v>45</v>
      </c>
      <c r="G106" s="28" t="s">
        <v>31</v>
      </c>
      <c r="H106" s="28" t="s">
        <v>88</v>
      </c>
      <c r="I106" s="28">
        <v>1350</v>
      </c>
      <c r="J106" s="28">
        <v>58000</v>
      </c>
      <c r="K106" s="28">
        <v>2900</v>
      </c>
      <c r="L106" s="28">
        <v>145</v>
      </c>
      <c r="M106" s="28">
        <v>0.05</v>
      </c>
      <c r="N106" s="28">
        <v>21750</v>
      </c>
      <c r="O106" s="28">
        <v>0.05</v>
      </c>
      <c r="P106" s="28">
        <v>0.47</v>
      </c>
      <c r="Q106" s="28">
        <v>15.11</v>
      </c>
      <c r="R106" s="26"/>
      <c r="S106" s="26"/>
      <c r="T106" s="26"/>
      <c r="U106" s="26"/>
    </row>
    <row r="107" spans="1:21" x14ac:dyDescent="0.3">
      <c r="A107" s="26"/>
      <c r="B107" s="29">
        <v>45284</v>
      </c>
      <c r="C107" s="28" t="s">
        <v>11</v>
      </c>
      <c r="D107" s="28" t="s">
        <v>77</v>
      </c>
      <c r="E107" s="28" t="s">
        <v>49</v>
      </c>
      <c r="F107" s="28" t="s">
        <v>41</v>
      </c>
      <c r="G107" s="28" t="s">
        <v>32</v>
      </c>
      <c r="H107" s="28" t="s">
        <v>88</v>
      </c>
      <c r="I107" s="28">
        <v>2700</v>
      </c>
      <c r="J107" s="28">
        <v>88000</v>
      </c>
      <c r="K107" s="28">
        <v>3520</v>
      </c>
      <c r="L107" s="28">
        <v>176</v>
      </c>
      <c r="M107" s="28">
        <v>0.05</v>
      </c>
      <c r="N107" s="28">
        <v>26400</v>
      </c>
      <c r="O107" s="28">
        <v>0.04</v>
      </c>
      <c r="P107" s="28">
        <v>0.77</v>
      </c>
      <c r="Q107" s="28">
        <v>8.7799999999999994</v>
      </c>
      <c r="R107" s="26"/>
      <c r="S107" s="26"/>
      <c r="T107" s="26"/>
      <c r="U107" s="26"/>
    </row>
    <row r="108" spans="1:21" x14ac:dyDescent="0.3">
      <c r="A108" s="26"/>
      <c r="B108" s="29">
        <v>45291</v>
      </c>
      <c r="C108" s="28" t="s">
        <v>10</v>
      </c>
      <c r="D108" s="28" t="s">
        <v>81</v>
      </c>
      <c r="E108" s="28" t="s">
        <v>48</v>
      </c>
      <c r="F108" s="28" t="s">
        <v>40</v>
      </c>
      <c r="G108" s="28" t="s">
        <v>30</v>
      </c>
      <c r="H108" s="28" t="s">
        <v>88</v>
      </c>
      <c r="I108" s="28">
        <v>5900</v>
      </c>
      <c r="J108" s="28">
        <v>61000</v>
      </c>
      <c r="K108" s="28">
        <v>1830</v>
      </c>
      <c r="L108" s="28">
        <v>92</v>
      </c>
      <c r="M108" s="28">
        <v>0.05</v>
      </c>
      <c r="N108" s="28">
        <v>22875</v>
      </c>
      <c r="O108" s="28">
        <v>0.03</v>
      </c>
      <c r="P108" s="28">
        <v>3.22</v>
      </c>
      <c r="Q108" s="28">
        <v>2.88</v>
      </c>
      <c r="R108" s="26"/>
      <c r="S108" s="26"/>
      <c r="T108" s="26"/>
      <c r="U108" s="26"/>
    </row>
    <row r="109" spans="1:21" x14ac:dyDescent="0.3">
      <c r="A109" s="26"/>
      <c r="B109" s="29">
        <v>45522</v>
      </c>
      <c r="C109" s="28" t="s">
        <v>12</v>
      </c>
      <c r="D109" s="28" t="s">
        <v>76</v>
      </c>
      <c r="E109" s="28" t="s">
        <v>49</v>
      </c>
      <c r="F109" s="28" t="s">
        <v>42</v>
      </c>
      <c r="G109" s="28" t="s">
        <v>33</v>
      </c>
      <c r="H109" s="28" t="s">
        <v>85</v>
      </c>
      <c r="I109" s="28">
        <v>3000</v>
      </c>
      <c r="J109" s="28">
        <v>90000</v>
      </c>
      <c r="K109" s="28">
        <v>3600</v>
      </c>
      <c r="L109" s="28">
        <v>180</v>
      </c>
      <c r="M109" s="28">
        <v>0.05</v>
      </c>
      <c r="N109" s="28">
        <v>27000</v>
      </c>
      <c r="O109" s="28">
        <v>0.04</v>
      </c>
      <c r="P109" s="28">
        <v>0.83</v>
      </c>
      <c r="Q109" s="28">
        <v>8</v>
      </c>
      <c r="R109" s="26"/>
      <c r="S109" s="26"/>
      <c r="T109" s="26"/>
      <c r="U109" s="26"/>
    </row>
    <row r="110" spans="1:21" x14ac:dyDescent="0.3">
      <c r="A110" s="26"/>
      <c r="B110" s="29">
        <v>45529</v>
      </c>
      <c r="C110" s="28" t="s">
        <v>10</v>
      </c>
      <c r="D110" s="28" t="s">
        <v>75</v>
      </c>
      <c r="E110" s="28" t="s">
        <v>47</v>
      </c>
      <c r="F110" s="28" t="s">
        <v>43</v>
      </c>
      <c r="G110" s="28" t="s">
        <v>31</v>
      </c>
      <c r="H110" s="28" t="s">
        <v>85</v>
      </c>
      <c r="I110" s="28">
        <v>1450</v>
      </c>
      <c r="J110" s="28">
        <v>60000</v>
      </c>
      <c r="K110" s="28">
        <v>3000</v>
      </c>
      <c r="L110" s="28">
        <v>150</v>
      </c>
      <c r="M110" s="28">
        <v>0.05</v>
      </c>
      <c r="N110" s="28">
        <v>22500</v>
      </c>
      <c r="O110" s="28">
        <v>0.05</v>
      </c>
      <c r="P110" s="28">
        <v>0.48</v>
      </c>
      <c r="Q110" s="28">
        <v>14.52</v>
      </c>
      <c r="R110" s="26"/>
      <c r="S110" s="26"/>
      <c r="T110" s="26"/>
      <c r="U110" s="26"/>
    </row>
    <row r="111" spans="1:21" x14ac:dyDescent="0.3">
      <c r="A111" s="26"/>
      <c r="B111" s="29">
        <v>45536</v>
      </c>
      <c r="C111" s="28" t="s">
        <v>13</v>
      </c>
      <c r="D111" s="28" t="s">
        <v>69</v>
      </c>
      <c r="E111" s="28" t="s">
        <v>47</v>
      </c>
      <c r="F111" s="28" t="s">
        <v>37</v>
      </c>
      <c r="G111" s="28" t="s">
        <v>32</v>
      </c>
      <c r="H111" s="28" t="s">
        <v>85</v>
      </c>
      <c r="I111" s="28">
        <v>3400</v>
      </c>
      <c r="J111" s="28">
        <v>115000</v>
      </c>
      <c r="K111" s="28">
        <v>4600</v>
      </c>
      <c r="L111" s="28">
        <v>230</v>
      </c>
      <c r="M111" s="28">
        <v>0.05</v>
      </c>
      <c r="N111" s="28">
        <v>34500</v>
      </c>
      <c r="O111" s="28">
        <v>0.04</v>
      </c>
      <c r="P111" s="28">
        <v>0.74</v>
      </c>
      <c r="Q111" s="28">
        <v>9.15</v>
      </c>
      <c r="R111" s="26"/>
      <c r="S111" s="26"/>
      <c r="T111" s="26"/>
      <c r="U111" s="26"/>
    </row>
    <row r="112" spans="1:21" x14ac:dyDescent="0.3">
      <c r="A112" s="26"/>
      <c r="B112" s="29">
        <v>45543</v>
      </c>
      <c r="C112" s="28" t="s">
        <v>11</v>
      </c>
      <c r="D112" s="28" t="s">
        <v>79</v>
      </c>
      <c r="E112" s="28" t="s">
        <v>47</v>
      </c>
      <c r="F112" s="28" t="s">
        <v>45</v>
      </c>
      <c r="G112" s="28" t="s">
        <v>33</v>
      </c>
      <c r="H112" s="28" t="s">
        <v>85</v>
      </c>
      <c r="I112" s="28">
        <v>2900</v>
      </c>
      <c r="J112" s="28">
        <v>96000</v>
      </c>
      <c r="K112" s="28">
        <v>3840</v>
      </c>
      <c r="L112" s="28">
        <v>192</v>
      </c>
      <c r="M112" s="28">
        <v>0.05</v>
      </c>
      <c r="N112" s="28">
        <v>28800</v>
      </c>
      <c r="O112" s="28">
        <v>0.04</v>
      </c>
      <c r="P112" s="28">
        <v>0.76</v>
      </c>
      <c r="Q112" s="28">
        <v>8.93</v>
      </c>
      <c r="R112" s="26"/>
      <c r="S112" s="26"/>
      <c r="T112" s="26"/>
      <c r="U112" s="26"/>
    </row>
    <row r="113" spans="1:21" x14ac:dyDescent="0.3">
      <c r="A113" s="26"/>
      <c r="B113" s="29">
        <v>45550</v>
      </c>
      <c r="C113" s="28" t="s">
        <v>13</v>
      </c>
      <c r="D113" s="28" t="s">
        <v>68</v>
      </c>
      <c r="E113" s="28" t="s">
        <v>47</v>
      </c>
      <c r="F113" s="28" t="s">
        <v>38</v>
      </c>
      <c r="G113" s="28" t="s">
        <v>30</v>
      </c>
      <c r="H113" s="28" t="s">
        <v>85</v>
      </c>
      <c r="I113" s="28">
        <v>4300</v>
      </c>
      <c r="J113" s="28">
        <v>62000</v>
      </c>
      <c r="K113" s="28">
        <v>1860</v>
      </c>
      <c r="L113" s="28">
        <v>93</v>
      </c>
      <c r="M113" s="28">
        <v>0.05</v>
      </c>
      <c r="N113" s="28">
        <v>23250</v>
      </c>
      <c r="O113" s="28">
        <v>0.03</v>
      </c>
      <c r="P113" s="28">
        <v>2.31</v>
      </c>
      <c r="Q113" s="28">
        <v>4.41</v>
      </c>
      <c r="R113" s="26"/>
      <c r="S113" s="26"/>
      <c r="T113" s="26"/>
      <c r="U113" s="26"/>
    </row>
    <row r="114" spans="1:21" x14ac:dyDescent="0.3">
      <c r="A114" s="26"/>
      <c r="B114" s="29">
        <v>45557</v>
      </c>
      <c r="C114" s="28" t="s">
        <v>12</v>
      </c>
      <c r="D114" s="28" t="s">
        <v>68</v>
      </c>
      <c r="E114" s="28" t="s">
        <v>47</v>
      </c>
      <c r="F114" s="28" t="s">
        <v>45</v>
      </c>
      <c r="G114" s="28" t="s">
        <v>32</v>
      </c>
      <c r="H114" s="28" t="s">
        <v>85</v>
      </c>
      <c r="I114" s="28">
        <v>1050</v>
      </c>
      <c r="J114" s="28">
        <v>42000</v>
      </c>
      <c r="K114" s="28">
        <v>2100</v>
      </c>
      <c r="L114" s="28">
        <v>105</v>
      </c>
      <c r="M114" s="28">
        <v>0.05</v>
      </c>
      <c r="N114" s="28">
        <v>15750</v>
      </c>
      <c r="O114" s="28">
        <v>0.05</v>
      </c>
      <c r="P114" s="28">
        <v>0.5</v>
      </c>
      <c r="Q114" s="28">
        <v>14</v>
      </c>
      <c r="R114" s="26"/>
      <c r="S114" s="26"/>
      <c r="T114" s="26"/>
      <c r="U114" s="26"/>
    </row>
    <row r="115" spans="1:21" x14ac:dyDescent="0.3">
      <c r="A115" s="26"/>
      <c r="B115" s="29">
        <v>45564</v>
      </c>
      <c r="C115" s="28" t="s">
        <v>12</v>
      </c>
      <c r="D115" s="28" t="s">
        <v>82</v>
      </c>
      <c r="E115" s="28" t="s">
        <v>47</v>
      </c>
      <c r="F115" s="28" t="s">
        <v>41</v>
      </c>
      <c r="G115" s="28" t="s">
        <v>31</v>
      </c>
      <c r="H115" s="28" t="s">
        <v>85</v>
      </c>
      <c r="I115" s="28">
        <v>2200</v>
      </c>
      <c r="J115" s="28">
        <v>72000</v>
      </c>
      <c r="K115" s="28">
        <v>3600</v>
      </c>
      <c r="L115" s="28">
        <v>180</v>
      </c>
      <c r="M115" s="28">
        <v>0.05</v>
      </c>
      <c r="N115" s="28">
        <v>27000</v>
      </c>
      <c r="O115" s="28">
        <v>0.05</v>
      </c>
      <c r="P115" s="28">
        <v>0.61</v>
      </c>
      <c r="Q115" s="28">
        <v>11.27</v>
      </c>
      <c r="R115" s="26"/>
      <c r="S115" s="26"/>
      <c r="T115" s="26"/>
      <c r="U115" s="26"/>
    </row>
    <row r="116" spans="1:21" x14ac:dyDescent="0.3">
      <c r="A116" s="26"/>
      <c r="B116" s="29">
        <v>45571</v>
      </c>
      <c r="C116" s="28" t="s">
        <v>11</v>
      </c>
      <c r="D116" s="28" t="s">
        <v>75</v>
      </c>
      <c r="E116" s="28" t="s">
        <v>47</v>
      </c>
      <c r="F116" s="28" t="s">
        <v>41</v>
      </c>
      <c r="G116" s="28" t="s">
        <v>32</v>
      </c>
      <c r="H116" s="28" t="s">
        <v>85</v>
      </c>
      <c r="I116" s="28">
        <v>3600</v>
      </c>
      <c r="J116" s="28">
        <v>112000</v>
      </c>
      <c r="K116" s="28">
        <v>4480</v>
      </c>
      <c r="L116" s="28">
        <v>224</v>
      </c>
      <c r="M116" s="28">
        <v>0.05</v>
      </c>
      <c r="N116" s="28">
        <v>33600</v>
      </c>
      <c r="O116" s="28">
        <v>0.04</v>
      </c>
      <c r="P116" s="28">
        <v>0.8</v>
      </c>
      <c r="Q116" s="28">
        <v>8.33</v>
      </c>
      <c r="R116" s="26"/>
      <c r="S116" s="26"/>
      <c r="T116" s="26"/>
      <c r="U116" s="26"/>
    </row>
    <row r="117" spans="1:21" x14ac:dyDescent="0.3">
      <c r="A117" s="26"/>
      <c r="B117" s="29">
        <v>45578</v>
      </c>
      <c r="C117" s="28" t="s">
        <v>12</v>
      </c>
      <c r="D117" s="28" t="s">
        <v>71</v>
      </c>
      <c r="E117" s="28" t="s">
        <v>48</v>
      </c>
      <c r="F117" s="28" t="s">
        <v>40</v>
      </c>
      <c r="G117" s="28" t="s">
        <v>33</v>
      </c>
      <c r="H117" s="28" t="s">
        <v>85</v>
      </c>
      <c r="I117" s="28">
        <v>3100</v>
      </c>
      <c r="J117" s="28">
        <v>89000</v>
      </c>
      <c r="K117" s="28">
        <v>3560</v>
      </c>
      <c r="L117" s="28">
        <v>178</v>
      </c>
      <c r="M117" s="28">
        <v>0.05</v>
      </c>
      <c r="N117" s="28">
        <v>26700</v>
      </c>
      <c r="O117" s="28">
        <v>0.04</v>
      </c>
      <c r="P117" s="28">
        <v>0.87</v>
      </c>
      <c r="Q117" s="28">
        <v>7.61</v>
      </c>
      <c r="R117" s="26"/>
      <c r="S117" s="26"/>
      <c r="T117" s="26"/>
      <c r="U117" s="26"/>
    </row>
    <row r="118" spans="1:21" x14ac:dyDescent="0.3">
      <c r="A118" s="26"/>
      <c r="B118" s="29">
        <v>45585</v>
      </c>
      <c r="C118" s="28" t="s">
        <v>11</v>
      </c>
      <c r="D118" s="28" t="s">
        <v>74</v>
      </c>
      <c r="E118" s="28" t="s">
        <v>49</v>
      </c>
      <c r="F118" s="28" t="s">
        <v>37</v>
      </c>
      <c r="G118" s="28" t="s">
        <v>30</v>
      </c>
      <c r="H118" s="28" t="s">
        <v>85</v>
      </c>
      <c r="I118" s="28">
        <v>5200</v>
      </c>
      <c r="J118" s="28">
        <v>56000</v>
      </c>
      <c r="K118" s="28">
        <v>1680</v>
      </c>
      <c r="L118" s="28">
        <v>84</v>
      </c>
      <c r="M118" s="28">
        <v>0.05</v>
      </c>
      <c r="N118" s="28">
        <v>21000</v>
      </c>
      <c r="O118" s="28">
        <v>0.03</v>
      </c>
      <c r="P118" s="28">
        <v>3.1</v>
      </c>
      <c r="Q118" s="28">
        <v>3.04</v>
      </c>
      <c r="R118" s="26"/>
      <c r="S118" s="26"/>
      <c r="T118" s="26"/>
      <c r="U118" s="26"/>
    </row>
    <row r="119" spans="1:21" x14ac:dyDescent="0.3">
      <c r="A119" s="26"/>
      <c r="B119" s="29">
        <v>45592</v>
      </c>
      <c r="C119" s="28" t="s">
        <v>12</v>
      </c>
      <c r="D119" s="28" t="s">
        <v>79</v>
      </c>
      <c r="E119" s="28" t="s">
        <v>47</v>
      </c>
      <c r="F119" s="28" t="s">
        <v>44</v>
      </c>
      <c r="G119" s="28" t="s">
        <v>31</v>
      </c>
      <c r="H119" s="28" t="s">
        <v>85</v>
      </c>
      <c r="I119" s="28">
        <v>1850</v>
      </c>
      <c r="J119" s="28">
        <v>62000</v>
      </c>
      <c r="K119" s="28">
        <v>3100</v>
      </c>
      <c r="L119" s="28">
        <v>155</v>
      </c>
      <c r="M119" s="28">
        <v>0.05</v>
      </c>
      <c r="N119" s="28">
        <v>23250</v>
      </c>
      <c r="O119" s="28">
        <v>0.05</v>
      </c>
      <c r="P119" s="28">
        <v>0.6</v>
      </c>
      <c r="Q119" s="28">
        <v>11.57</v>
      </c>
      <c r="R119" s="26"/>
      <c r="S119" s="26"/>
      <c r="T119" s="26"/>
      <c r="U119" s="26"/>
    </row>
    <row r="120" spans="1:21" x14ac:dyDescent="0.3">
      <c r="A120" s="26"/>
      <c r="B120" s="29">
        <v>45599</v>
      </c>
      <c r="C120" s="28" t="s">
        <v>13</v>
      </c>
      <c r="D120" s="28" t="s">
        <v>74</v>
      </c>
      <c r="E120" s="28" t="s">
        <v>49</v>
      </c>
      <c r="F120" s="28" t="s">
        <v>41</v>
      </c>
      <c r="G120" s="28" t="s">
        <v>32</v>
      </c>
      <c r="H120" s="28" t="s">
        <v>85</v>
      </c>
      <c r="I120" s="28">
        <v>2450</v>
      </c>
      <c r="J120" s="28">
        <v>82000</v>
      </c>
      <c r="K120" s="28">
        <v>3280</v>
      </c>
      <c r="L120" s="28">
        <v>164</v>
      </c>
      <c r="M120" s="28">
        <v>0.05</v>
      </c>
      <c r="N120" s="28">
        <v>24600</v>
      </c>
      <c r="O120" s="28">
        <v>0.04</v>
      </c>
      <c r="P120" s="28">
        <v>0.75</v>
      </c>
      <c r="Q120" s="28">
        <v>9.0399999999999991</v>
      </c>
      <c r="R120" s="26"/>
      <c r="S120" s="26"/>
      <c r="T120" s="26"/>
      <c r="U120" s="26"/>
    </row>
    <row r="121" spans="1:21" x14ac:dyDescent="0.3">
      <c r="A121" s="26"/>
      <c r="B121" s="29">
        <v>45606</v>
      </c>
      <c r="C121" s="28" t="s">
        <v>12</v>
      </c>
      <c r="D121" s="28" t="s">
        <v>71</v>
      </c>
      <c r="E121" s="28" t="s">
        <v>48</v>
      </c>
      <c r="F121" s="28" t="s">
        <v>44</v>
      </c>
      <c r="G121" s="28" t="s">
        <v>33</v>
      </c>
      <c r="H121" s="28" t="s">
        <v>85</v>
      </c>
      <c r="I121" s="28">
        <v>4100</v>
      </c>
      <c r="J121" s="28">
        <v>108000</v>
      </c>
      <c r="K121" s="28">
        <v>4320</v>
      </c>
      <c r="L121" s="28">
        <v>216</v>
      </c>
      <c r="M121" s="28">
        <v>0.05</v>
      </c>
      <c r="N121" s="28">
        <v>32400</v>
      </c>
      <c r="O121" s="28">
        <v>0.04</v>
      </c>
      <c r="P121" s="28">
        <v>0.95</v>
      </c>
      <c r="Q121" s="28">
        <v>6.9</v>
      </c>
      <c r="R121" s="26"/>
      <c r="S121" s="26"/>
      <c r="T121" s="26"/>
      <c r="U121" s="26"/>
    </row>
    <row r="122" spans="1:21" x14ac:dyDescent="0.3">
      <c r="A122" s="26"/>
      <c r="B122" s="29">
        <v>45613</v>
      </c>
      <c r="C122" s="28" t="s">
        <v>11</v>
      </c>
      <c r="D122" s="28" t="s">
        <v>83</v>
      </c>
      <c r="E122" s="28" t="s">
        <v>49</v>
      </c>
      <c r="F122" s="28" t="s">
        <v>41</v>
      </c>
      <c r="G122" s="28" t="s">
        <v>30</v>
      </c>
      <c r="H122" s="28" t="s">
        <v>86</v>
      </c>
      <c r="I122" s="28">
        <v>4700</v>
      </c>
      <c r="J122" s="28">
        <v>52000</v>
      </c>
      <c r="K122" s="28">
        <v>1560</v>
      </c>
      <c r="L122" s="28">
        <v>78</v>
      </c>
      <c r="M122" s="28">
        <v>0.05</v>
      </c>
      <c r="N122" s="28">
        <v>19500</v>
      </c>
      <c r="O122" s="28">
        <v>0.03</v>
      </c>
      <c r="P122" s="28">
        <v>3.01</v>
      </c>
      <c r="Q122" s="28">
        <v>3.15</v>
      </c>
      <c r="R122" s="26"/>
      <c r="S122" s="26"/>
      <c r="T122" s="26"/>
      <c r="U122" s="26"/>
    </row>
    <row r="123" spans="1:21" x14ac:dyDescent="0.3">
      <c r="A123" s="26"/>
      <c r="B123" s="29">
        <v>45396</v>
      </c>
      <c r="C123" s="28" t="s">
        <v>13</v>
      </c>
      <c r="D123" s="28" t="s">
        <v>82</v>
      </c>
      <c r="E123" s="28" t="s">
        <v>47</v>
      </c>
      <c r="F123" s="28" t="s">
        <v>40</v>
      </c>
      <c r="G123" s="28" t="s">
        <v>31</v>
      </c>
      <c r="H123" s="28" t="s">
        <v>86</v>
      </c>
      <c r="I123" s="28">
        <v>2300</v>
      </c>
      <c r="J123" s="28">
        <v>74000</v>
      </c>
      <c r="K123" s="28">
        <v>3700</v>
      </c>
      <c r="L123" s="28">
        <v>185</v>
      </c>
      <c r="M123" s="28">
        <v>0.05</v>
      </c>
      <c r="N123" s="28">
        <v>27750</v>
      </c>
      <c r="O123" s="28">
        <v>0.05</v>
      </c>
      <c r="P123" s="28">
        <v>0.62</v>
      </c>
      <c r="Q123" s="28">
        <v>11.07</v>
      </c>
      <c r="R123" s="26"/>
      <c r="S123" s="26"/>
      <c r="T123" s="26"/>
      <c r="U123" s="26"/>
    </row>
    <row r="124" spans="1:21" x14ac:dyDescent="0.3">
      <c r="A124" s="26"/>
      <c r="B124" s="29">
        <v>45403</v>
      </c>
      <c r="C124" s="28" t="s">
        <v>12</v>
      </c>
      <c r="D124" s="28" t="s">
        <v>84</v>
      </c>
      <c r="E124" s="28" t="s">
        <v>48</v>
      </c>
      <c r="F124" s="28" t="s">
        <v>40</v>
      </c>
      <c r="G124" s="28" t="s">
        <v>33</v>
      </c>
      <c r="H124" s="28" t="s">
        <v>86</v>
      </c>
      <c r="I124" s="28">
        <v>3200</v>
      </c>
      <c r="J124" s="28">
        <v>94000</v>
      </c>
      <c r="K124" s="28">
        <v>3760</v>
      </c>
      <c r="L124" s="28">
        <v>188</v>
      </c>
      <c r="M124" s="28">
        <v>0.05</v>
      </c>
      <c r="N124" s="28">
        <v>28200</v>
      </c>
      <c r="O124" s="28">
        <v>0.04</v>
      </c>
      <c r="P124" s="28">
        <v>0.85</v>
      </c>
      <c r="Q124" s="28">
        <v>7.81</v>
      </c>
      <c r="R124" s="26"/>
      <c r="S124" s="26"/>
      <c r="T124" s="26"/>
      <c r="U124" s="26"/>
    </row>
    <row r="125" spans="1:21" x14ac:dyDescent="0.3">
      <c r="A125" s="26"/>
      <c r="B125" s="29">
        <v>45410</v>
      </c>
      <c r="C125" s="28" t="s">
        <v>13</v>
      </c>
      <c r="D125" s="28" t="s">
        <v>80</v>
      </c>
      <c r="E125" s="28" t="s">
        <v>48</v>
      </c>
      <c r="F125" s="28" t="s">
        <v>42</v>
      </c>
      <c r="G125" s="28" t="s">
        <v>32</v>
      </c>
      <c r="H125" s="28" t="s">
        <v>86</v>
      </c>
      <c r="I125" s="28">
        <v>2800</v>
      </c>
      <c r="J125" s="28">
        <v>92000</v>
      </c>
      <c r="K125" s="28">
        <v>3680</v>
      </c>
      <c r="L125" s="28">
        <v>184</v>
      </c>
      <c r="M125" s="28">
        <v>0.05</v>
      </c>
      <c r="N125" s="28">
        <v>27600</v>
      </c>
      <c r="O125" s="28">
        <v>0.04</v>
      </c>
      <c r="P125" s="28">
        <v>0.76</v>
      </c>
      <c r="Q125" s="28">
        <v>8.86</v>
      </c>
      <c r="R125" s="26"/>
      <c r="S125" s="26"/>
      <c r="T125" s="26"/>
      <c r="U125" s="26"/>
    </row>
    <row r="126" spans="1:21" x14ac:dyDescent="0.3">
      <c r="A126" s="26"/>
      <c r="B126" s="29">
        <v>45417</v>
      </c>
      <c r="C126" s="28" t="s">
        <v>11</v>
      </c>
      <c r="D126" s="28" t="s">
        <v>70</v>
      </c>
      <c r="E126" s="28" t="s">
        <v>49</v>
      </c>
      <c r="F126" s="28" t="s">
        <v>45</v>
      </c>
      <c r="G126" s="28" t="s">
        <v>31</v>
      </c>
      <c r="H126" s="28" t="s">
        <v>86</v>
      </c>
      <c r="I126" s="28">
        <v>1950</v>
      </c>
      <c r="J126" s="28">
        <v>68000</v>
      </c>
      <c r="K126" s="28">
        <v>3400</v>
      </c>
      <c r="L126" s="28">
        <v>170</v>
      </c>
      <c r="M126" s="28">
        <v>0.05</v>
      </c>
      <c r="N126" s="28">
        <v>25500</v>
      </c>
      <c r="O126" s="28">
        <v>0.05</v>
      </c>
      <c r="P126" s="28">
        <v>0.56999999999999995</v>
      </c>
      <c r="Q126" s="28">
        <v>12.08</v>
      </c>
      <c r="R126" s="26"/>
      <c r="S126" s="26"/>
      <c r="T126" s="26"/>
      <c r="U126" s="26"/>
    </row>
    <row r="127" spans="1:21" x14ac:dyDescent="0.3">
      <c r="A127" s="26"/>
      <c r="B127" s="29">
        <v>45424</v>
      </c>
      <c r="C127" s="28" t="s">
        <v>13</v>
      </c>
      <c r="D127" s="28" t="s">
        <v>69</v>
      </c>
      <c r="E127" s="28" t="s">
        <v>47</v>
      </c>
      <c r="F127" s="28" t="s">
        <v>41</v>
      </c>
      <c r="G127" s="28" t="s">
        <v>30</v>
      </c>
      <c r="H127" s="28" t="s">
        <v>86</v>
      </c>
      <c r="I127" s="28">
        <v>6200</v>
      </c>
      <c r="J127" s="28">
        <v>64000</v>
      </c>
      <c r="K127" s="28">
        <v>1920</v>
      </c>
      <c r="L127" s="28">
        <v>96</v>
      </c>
      <c r="M127" s="28">
        <v>0.05</v>
      </c>
      <c r="N127" s="28">
        <v>24000</v>
      </c>
      <c r="O127" s="28">
        <v>0.03</v>
      </c>
      <c r="P127" s="28">
        <v>3.23</v>
      </c>
      <c r="Q127" s="28">
        <v>2.87</v>
      </c>
      <c r="R127" s="26"/>
      <c r="S127" s="26"/>
      <c r="T127" s="26"/>
      <c r="U127" s="26"/>
    </row>
    <row r="128" spans="1:21" x14ac:dyDescent="0.3">
      <c r="A128" s="26"/>
      <c r="B128" s="29">
        <v>45431</v>
      </c>
      <c r="C128" s="28" t="s">
        <v>10</v>
      </c>
      <c r="D128" s="28" t="s">
        <v>72</v>
      </c>
      <c r="E128" s="28" t="s">
        <v>47</v>
      </c>
      <c r="F128" s="28" t="s">
        <v>43</v>
      </c>
      <c r="G128" s="28" t="s">
        <v>32</v>
      </c>
      <c r="H128" s="28" t="s">
        <v>86</v>
      </c>
      <c r="I128" s="28">
        <v>2200</v>
      </c>
      <c r="J128" s="28">
        <v>77000</v>
      </c>
      <c r="K128" s="28">
        <v>3080</v>
      </c>
      <c r="L128" s="28">
        <v>154</v>
      </c>
      <c r="M128" s="28">
        <v>0.05</v>
      </c>
      <c r="N128" s="28">
        <v>23100</v>
      </c>
      <c r="O128" s="28">
        <v>0.04</v>
      </c>
      <c r="P128" s="28">
        <v>0.71</v>
      </c>
      <c r="Q128" s="28">
        <v>9.5</v>
      </c>
      <c r="R128" s="26"/>
      <c r="S128" s="26"/>
      <c r="T128" s="26"/>
      <c r="U128" s="26"/>
    </row>
    <row r="129" spans="1:21" x14ac:dyDescent="0.3">
      <c r="A129" s="26"/>
      <c r="B129" s="29">
        <v>45438</v>
      </c>
      <c r="C129" s="28" t="s">
        <v>12</v>
      </c>
      <c r="D129" s="28" t="s">
        <v>79</v>
      </c>
      <c r="E129" s="28" t="s">
        <v>47</v>
      </c>
      <c r="F129" s="28" t="s">
        <v>41</v>
      </c>
      <c r="G129" s="28" t="s">
        <v>33</v>
      </c>
      <c r="H129" s="28" t="s">
        <v>86</v>
      </c>
      <c r="I129" s="28">
        <v>3400</v>
      </c>
      <c r="J129" s="28">
        <v>100000</v>
      </c>
      <c r="K129" s="28">
        <v>4000</v>
      </c>
      <c r="L129" s="28">
        <v>200</v>
      </c>
      <c r="M129" s="28">
        <v>0.05</v>
      </c>
      <c r="N129" s="28">
        <v>30000</v>
      </c>
      <c r="O129" s="28">
        <v>0.04</v>
      </c>
      <c r="P129" s="28">
        <v>0.85</v>
      </c>
      <c r="Q129" s="28">
        <v>7.82</v>
      </c>
      <c r="R129" s="26"/>
      <c r="S129" s="26"/>
      <c r="T129" s="26"/>
      <c r="U129" s="26"/>
    </row>
    <row r="130" spans="1:21" x14ac:dyDescent="0.3">
      <c r="A130" s="26"/>
      <c r="B130" s="29">
        <v>45445</v>
      </c>
      <c r="C130" s="28" t="s">
        <v>12</v>
      </c>
      <c r="D130" s="28" t="s">
        <v>71</v>
      </c>
      <c r="E130" s="28" t="s">
        <v>48</v>
      </c>
      <c r="F130" s="28" t="s">
        <v>40</v>
      </c>
      <c r="G130" s="28" t="s">
        <v>31</v>
      </c>
      <c r="H130" s="28" t="s">
        <v>86</v>
      </c>
      <c r="I130" s="28">
        <v>1500</v>
      </c>
      <c r="J130" s="28">
        <v>57000</v>
      </c>
      <c r="K130" s="28">
        <v>2850</v>
      </c>
      <c r="L130" s="28">
        <v>142</v>
      </c>
      <c r="M130" s="28">
        <v>0.05</v>
      </c>
      <c r="N130" s="28">
        <v>21375</v>
      </c>
      <c r="O130" s="28">
        <v>0.05</v>
      </c>
      <c r="P130" s="28">
        <v>0.53</v>
      </c>
      <c r="Q130" s="28">
        <v>13.25</v>
      </c>
      <c r="R130" s="26"/>
      <c r="S130" s="26"/>
      <c r="T130" s="26"/>
      <c r="U130" s="26"/>
    </row>
    <row r="131" spans="1:21" x14ac:dyDescent="0.3">
      <c r="A131" s="26"/>
      <c r="B131" s="29">
        <v>45452</v>
      </c>
      <c r="C131" s="28" t="s">
        <v>12</v>
      </c>
      <c r="D131" s="28" t="s">
        <v>65</v>
      </c>
      <c r="E131" s="28" t="s">
        <v>47</v>
      </c>
      <c r="F131" s="28" t="s">
        <v>41</v>
      </c>
      <c r="G131" s="28" t="s">
        <v>30</v>
      </c>
      <c r="H131" s="28" t="s">
        <v>86</v>
      </c>
      <c r="I131" s="28">
        <v>5000</v>
      </c>
      <c r="J131" s="28">
        <v>54000</v>
      </c>
      <c r="K131" s="28">
        <v>1620</v>
      </c>
      <c r="L131" s="28">
        <v>81</v>
      </c>
      <c r="M131" s="28">
        <v>0.05</v>
      </c>
      <c r="N131" s="28">
        <v>20250</v>
      </c>
      <c r="O131" s="28">
        <v>0.03</v>
      </c>
      <c r="P131" s="28">
        <v>3.09</v>
      </c>
      <c r="Q131" s="28">
        <v>3.05</v>
      </c>
      <c r="R131" s="26"/>
      <c r="S131" s="26"/>
      <c r="T131" s="26"/>
      <c r="U131" s="26"/>
    </row>
    <row r="132" spans="1:21" x14ac:dyDescent="0.3">
      <c r="A132" s="26"/>
      <c r="B132" s="29">
        <v>45459</v>
      </c>
      <c r="C132" s="28" t="s">
        <v>12</v>
      </c>
      <c r="D132" s="28" t="s">
        <v>73</v>
      </c>
      <c r="E132" s="28" t="s">
        <v>47</v>
      </c>
      <c r="F132" s="28" t="s">
        <v>39</v>
      </c>
      <c r="G132" s="28" t="s">
        <v>31</v>
      </c>
      <c r="H132" s="28" t="s">
        <v>86</v>
      </c>
      <c r="I132" s="28">
        <v>2050</v>
      </c>
      <c r="J132" s="28">
        <v>70000</v>
      </c>
      <c r="K132" s="28">
        <v>3500</v>
      </c>
      <c r="L132" s="28">
        <v>175</v>
      </c>
      <c r="M132" s="28">
        <v>0.05</v>
      </c>
      <c r="N132" s="28">
        <v>26250</v>
      </c>
      <c r="O132" s="28">
        <v>0.05</v>
      </c>
      <c r="P132" s="28">
        <v>0.59</v>
      </c>
      <c r="Q132" s="28">
        <v>11.8</v>
      </c>
      <c r="R132" s="26"/>
      <c r="S132" s="26"/>
      <c r="T132" s="26"/>
      <c r="U132" s="26"/>
    </row>
    <row r="133" spans="1:21" x14ac:dyDescent="0.3">
      <c r="A133" s="26"/>
      <c r="B133" s="29">
        <v>45466</v>
      </c>
      <c r="C133" s="28" t="s">
        <v>11</v>
      </c>
      <c r="D133" s="28" t="s">
        <v>73</v>
      </c>
      <c r="E133" s="28" t="s">
        <v>47</v>
      </c>
      <c r="F133" s="28" t="s">
        <v>44</v>
      </c>
      <c r="G133" s="28" t="s">
        <v>32</v>
      </c>
      <c r="H133" s="28" t="s">
        <v>86</v>
      </c>
      <c r="I133" s="28">
        <v>3700</v>
      </c>
      <c r="J133" s="28">
        <v>118000</v>
      </c>
      <c r="K133" s="28">
        <v>4720</v>
      </c>
      <c r="L133" s="28">
        <v>236</v>
      </c>
      <c r="M133" s="28">
        <v>0.05</v>
      </c>
      <c r="N133" s="28">
        <v>35400</v>
      </c>
      <c r="O133" s="28">
        <v>0.04</v>
      </c>
      <c r="P133" s="28">
        <v>0.78</v>
      </c>
      <c r="Q133" s="28">
        <v>8.57</v>
      </c>
      <c r="R133" s="26"/>
      <c r="S133" s="26"/>
      <c r="T133" s="26"/>
      <c r="U133" s="26"/>
    </row>
    <row r="134" spans="1:21" x14ac:dyDescent="0.3">
      <c r="A134" s="26"/>
      <c r="B134" s="29">
        <v>45473</v>
      </c>
      <c r="C134" s="28" t="s">
        <v>12</v>
      </c>
      <c r="D134" s="28" t="s">
        <v>77</v>
      </c>
      <c r="E134" s="28" t="s">
        <v>49</v>
      </c>
      <c r="F134" s="28" t="s">
        <v>42</v>
      </c>
      <c r="G134" s="28" t="s">
        <v>33</v>
      </c>
      <c r="H134" s="28" t="s">
        <v>86</v>
      </c>
      <c r="I134" s="28">
        <v>3050</v>
      </c>
      <c r="J134" s="28">
        <v>89000</v>
      </c>
      <c r="K134" s="28">
        <v>3560</v>
      </c>
      <c r="L134" s="28">
        <v>178</v>
      </c>
      <c r="M134" s="28">
        <v>0.05</v>
      </c>
      <c r="N134" s="28">
        <v>26700</v>
      </c>
      <c r="O134" s="28">
        <v>0.04</v>
      </c>
      <c r="P134" s="28">
        <v>0.86</v>
      </c>
      <c r="Q134" s="28">
        <v>7.75</v>
      </c>
      <c r="R134" s="26"/>
      <c r="S134" s="26"/>
      <c r="T134" s="26"/>
      <c r="U134" s="26"/>
    </row>
    <row r="135" spans="1:21" x14ac:dyDescent="0.3">
      <c r="A135" s="26"/>
      <c r="B135" s="29">
        <v>45480</v>
      </c>
      <c r="C135" s="28" t="s">
        <v>11</v>
      </c>
      <c r="D135" s="28" t="s">
        <v>71</v>
      </c>
      <c r="E135" s="28" t="s">
        <v>48</v>
      </c>
      <c r="F135" s="28" t="s">
        <v>39</v>
      </c>
      <c r="G135" s="28" t="s">
        <v>30</v>
      </c>
      <c r="H135" s="28" t="s">
        <v>87</v>
      </c>
      <c r="I135" s="28">
        <v>5400</v>
      </c>
      <c r="J135" s="28">
        <v>56000</v>
      </c>
      <c r="K135" s="28">
        <v>1680</v>
      </c>
      <c r="L135" s="28">
        <v>84</v>
      </c>
      <c r="M135" s="28">
        <v>0.05</v>
      </c>
      <c r="N135" s="28">
        <v>21000</v>
      </c>
      <c r="O135" s="28">
        <v>0.03</v>
      </c>
      <c r="P135" s="28">
        <v>3.21</v>
      </c>
      <c r="Q135" s="28">
        <v>2.89</v>
      </c>
      <c r="R135" s="26"/>
      <c r="S135" s="26"/>
      <c r="T135" s="26"/>
      <c r="U135" s="26"/>
    </row>
    <row r="136" spans="1:21" x14ac:dyDescent="0.3">
      <c r="A136" s="26"/>
      <c r="B136" s="29">
        <v>45487</v>
      </c>
      <c r="C136" s="28" t="s">
        <v>11</v>
      </c>
      <c r="D136" s="28" t="s">
        <v>81</v>
      </c>
      <c r="E136" s="28" t="s">
        <v>48</v>
      </c>
      <c r="F136" s="28" t="s">
        <v>41</v>
      </c>
      <c r="G136" s="28" t="s">
        <v>31</v>
      </c>
      <c r="H136" s="28" t="s">
        <v>87</v>
      </c>
      <c r="I136" s="28">
        <v>2400</v>
      </c>
      <c r="J136" s="28">
        <v>76000</v>
      </c>
      <c r="K136" s="28">
        <v>3800</v>
      </c>
      <c r="L136" s="28">
        <v>190</v>
      </c>
      <c r="M136" s="28">
        <v>0.05</v>
      </c>
      <c r="N136" s="28">
        <v>28500</v>
      </c>
      <c r="O136" s="28">
        <v>0.05</v>
      </c>
      <c r="P136" s="28">
        <v>0.63</v>
      </c>
      <c r="Q136" s="28">
        <v>10.88</v>
      </c>
      <c r="R136" s="26"/>
      <c r="S136" s="26"/>
      <c r="T136" s="26"/>
      <c r="U136" s="26"/>
    </row>
    <row r="137" spans="1:21" x14ac:dyDescent="0.3">
      <c r="A137" s="26"/>
      <c r="B137" s="29">
        <v>45494</v>
      </c>
      <c r="C137" s="28" t="s">
        <v>12</v>
      </c>
      <c r="D137" s="28" t="s">
        <v>83</v>
      </c>
      <c r="E137" s="28" t="s">
        <v>49</v>
      </c>
      <c r="F137" s="28" t="s">
        <v>44</v>
      </c>
      <c r="G137" s="28" t="s">
        <v>32</v>
      </c>
      <c r="H137" s="28" t="s">
        <v>87</v>
      </c>
      <c r="I137" s="28">
        <v>2700</v>
      </c>
      <c r="J137" s="28">
        <v>87000</v>
      </c>
      <c r="K137" s="28">
        <v>3480</v>
      </c>
      <c r="L137" s="28">
        <v>174</v>
      </c>
      <c r="M137" s="28">
        <v>0.05</v>
      </c>
      <c r="N137" s="28">
        <v>26100</v>
      </c>
      <c r="O137" s="28">
        <v>0.04</v>
      </c>
      <c r="P137" s="28">
        <v>0.78</v>
      </c>
      <c r="Q137" s="28">
        <v>8.67</v>
      </c>
      <c r="R137" s="26"/>
      <c r="S137" s="26"/>
      <c r="T137" s="26"/>
      <c r="U137" s="26"/>
    </row>
    <row r="138" spans="1:21" x14ac:dyDescent="0.3">
      <c r="A138" s="26"/>
      <c r="B138" s="29">
        <v>45501</v>
      </c>
      <c r="C138" s="28" t="s">
        <v>11</v>
      </c>
      <c r="D138" s="28" t="s">
        <v>69</v>
      </c>
      <c r="E138" s="28" t="s">
        <v>47</v>
      </c>
      <c r="F138" s="28" t="s">
        <v>42</v>
      </c>
      <c r="G138" s="28" t="s">
        <v>31</v>
      </c>
      <c r="H138" s="28" t="s">
        <v>87</v>
      </c>
      <c r="I138" s="28">
        <v>1700</v>
      </c>
      <c r="J138" s="28">
        <v>64000</v>
      </c>
      <c r="K138" s="28">
        <v>3200</v>
      </c>
      <c r="L138" s="28">
        <v>160</v>
      </c>
      <c r="M138" s="28">
        <v>0.05</v>
      </c>
      <c r="N138" s="28">
        <v>24000</v>
      </c>
      <c r="O138" s="28">
        <v>0.05</v>
      </c>
      <c r="P138" s="28">
        <v>0.53</v>
      </c>
      <c r="Q138" s="28">
        <v>13.12</v>
      </c>
      <c r="R138" s="26"/>
      <c r="S138" s="26"/>
      <c r="T138" s="26"/>
      <c r="U138" s="26"/>
    </row>
    <row r="139" spans="1:21" x14ac:dyDescent="0.3">
      <c r="A139" s="26"/>
      <c r="B139" s="29">
        <v>45508</v>
      </c>
      <c r="C139" s="28" t="s">
        <v>12</v>
      </c>
      <c r="D139" s="28" t="s">
        <v>66</v>
      </c>
      <c r="E139" s="28" t="s">
        <v>48</v>
      </c>
      <c r="F139" s="28" t="s">
        <v>45</v>
      </c>
      <c r="G139" s="28" t="s">
        <v>33</v>
      </c>
      <c r="H139" s="28" t="s">
        <v>87</v>
      </c>
      <c r="I139" s="28">
        <v>3900</v>
      </c>
      <c r="J139" s="28">
        <v>106000</v>
      </c>
      <c r="K139" s="28">
        <v>4240</v>
      </c>
      <c r="L139" s="28">
        <v>212</v>
      </c>
      <c r="M139" s="28">
        <v>0.05</v>
      </c>
      <c r="N139" s="28">
        <v>31800</v>
      </c>
      <c r="O139" s="28">
        <v>0.04</v>
      </c>
      <c r="P139" s="28">
        <v>0.92</v>
      </c>
      <c r="Q139" s="28">
        <v>7.15</v>
      </c>
      <c r="R139" s="26"/>
      <c r="S139" s="26"/>
      <c r="T139" s="26"/>
      <c r="U139" s="26"/>
    </row>
    <row r="140" spans="1:21" x14ac:dyDescent="0.3">
      <c r="A140" s="26"/>
      <c r="B140" s="29">
        <v>45515</v>
      </c>
      <c r="C140" s="28" t="s">
        <v>12</v>
      </c>
      <c r="D140" s="28" t="s">
        <v>70</v>
      </c>
      <c r="E140" s="28" t="s">
        <v>49</v>
      </c>
      <c r="F140" s="28" t="s">
        <v>39</v>
      </c>
      <c r="G140" s="28" t="s">
        <v>30</v>
      </c>
      <c r="H140" s="28" t="s">
        <v>87</v>
      </c>
      <c r="I140" s="28">
        <v>5800</v>
      </c>
      <c r="J140" s="28">
        <v>60000</v>
      </c>
      <c r="K140" s="28">
        <v>1800</v>
      </c>
      <c r="L140" s="28">
        <v>90</v>
      </c>
      <c r="M140" s="28">
        <v>0.05</v>
      </c>
      <c r="N140" s="28">
        <v>22500</v>
      </c>
      <c r="O140" s="28">
        <v>0.03</v>
      </c>
      <c r="P140" s="28">
        <v>3.22</v>
      </c>
      <c r="Q140" s="28">
        <v>2.88</v>
      </c>
      <c r="R140" s="26"/>
      <c r="S140" s="26"/>
      <c r="T140" s="26"/>
      <c r="U140" s="26"/>
    </row>
    <row r="141" spans="1:21" x14ac:dyDescent="0.3">
      <c r="A141" s="26"/>
      <c r="B141" s="29">
        <v>45522</v>
      </c>
      <c r="C141" s="28" t="s">
        <v>11</v>
      </c>
      <c r="D141" s="28" t="s">
        <v>68</v>
      </c>
      <c r="E141" s="28" t="s">
        <v>47</v>
      </c>
      <c r="F141" s="28" t="s">
        <v>45</v>
      </c>
      <c r="G141" s="28" t="s">
        <v>32</v>
      </c>
      <c r="H141" s="28" t="s">
        <v>87</v>
      </c>
      <c r="I141" s="28">
        <v>3300</v>
      </c>
      <c r="J141" s="28">
        <v>102000</v>
      </c>
      <c r="K141" s="28">
        <v>4080</v>
      </c>
      <c r="L141" s="28">
        <v>204</v>
      </c>
      <c r="M141" s="28">
        <v>0.05</v>
      </c>
      <c r="N141" s="28">
        <v>30600</v>
      </c>
      <c r="O141" s="28">
        <v>0.04</v>
      </c>
      <c r="P141" s="28">
        <v>0.81</v>
      </c>
      <c r="Q141" s="28">
        <v>8.27</v>
      </c>
      <c r="R141" s="26"/>
      <c r="S141" s="26"/>
      <c r="T141" s="26"/>
      <c r="U141" s="26"/>
    </row>
    <row r="142" spans="1:21" x14ac:dyDescent="0.3">
      <c r="A142" s="26"/>
      <c r="B142" s="29">
        <v>45529</v>
      </c>
      <c r="C142" s="28" t="s">
        <v>12</v>
      </c>
      <c r="D142" s="28" t="s">
        <v>81</v>
      </c>
      <c r="E142" s="28" t="s">
        <v>48</v>
      </c>
      <c r="F142" s="28" t="s">
        <v>41</v>
      </c>
      <c r="G142" s="28" t="s">
        <v>33</v>
      </c>
      <c r="H142" s="28" t="s">
        <v>87</v>
      </c>
      <c r="I142" s="28">
        <v>2900</v>
      </c>
      <c r="J142" s="28">
        <v>86000</v>
      </c>
      <c r="K142" s="28">
        <v>3440</v>
      </c>
      <c r="L142" s="28">
        <v>172</v>
      </c>
      <c r="M142" s="28">
        <v>0.05</v>
      </c>
      <c r="N142" s="28">
        <v>25800</v>
      </c>
      <c r="O142" s="28">
        <v>0.04</v>
      </c>
      <c r="P142" s="28">
        <v>0.84</v>
      </c>
      <c r="Q142" s="28">
        <v>7.9</v>
      </c>
      <c r="R142" s="26"/>
      <c r="S142" s="26"/>
      <c r="T142" s="26"/>
      <c r="U142" s="26"/>
    </row>
    <row r="143" spans="1:21" x14ac:dyDescent="0.3">
      <c r="A143" s="26"/>
      <c r="B143" s="29">
        <v>45536</v>
      </c>
      <c r="C143" s="28" t="s">
        <v>12</v>
      </c>
      <c r="D143" s="28" t="s">
        <v>71</v>
      </c>
      <c r="E143" s="28" t="s">
        <v>48</v>
      </c>
      <c r="F143" s="28" t="s">
        <v>41</v>
      </c>
      <c r="G143" s="28" t="s">
        <v>31</v>
      </c>
      <c r="H143" s="28" t="s">
        <v>87</v>
      </c>
      <c r="I143" s="28">
        <v>2000</v>
      </c>
      <c r="J143" s="28">
        <v>69000</v>
      </c>
      <c r="K143" s="28">
        <v>3450</v>
      </c>
      <c r="L143" s="28">
        <v>172</v>
      </c>
      <c r="M143" s="28">
        <v>0.05</v>
      </c>
      <c r="N143" s="28">
        <v>25875</v>
      </c>
      <c r="O143" s="28">
        <v>0.05</v>
      </c>
      <c r="P143" s="28">
        <v>0.57999999999999996</v>
      </c>
      <c r="Q143" s="28">
        <v>11.94</v>
      </c>
      <c r="R143" s="26"/>
      <c r="S143" s="26"/>
      <c r="T143" s="26"/>
      <c r="U143" s="26"/>
    </row>
    <row r="144" spans="1:21" x14ac:dyDescent="0.3">
      <c r="A144" s="26"/>
      <c r="B144" s="29">
        <v>45543</v>
      </c>
      <c r="C144" s="28" t="s">
        <v>13</v>
      </c>
      <c r="D144" s="28" t="s">
        <v>67</v>
      </c>
      <c r="E144" s="28" t="s">
        <v>48</v>
      </c>
      <c r="F144" s="28" t="s">
        <v>40</v>
      </c>
      <c r="G144" s="28" t="s">
        <v>30</v>
      </c>
      <c r="H144" s="28" t="s">
        <v>87</v>
      </c>
      <c r="I144" s="28">
        <v>5100</v>
      </c>
      <c r="J144" s="28">
        <v>55000</v>
      </c>
      <c r="K144" s="28">
        <v>1650</v>
      </c>
      <c r="L144" s="28">
        <v>82</v>
      </c>
      <c r="M144" s="28">
        <v>0.05</v>
      </c>
      <c r="N144" s="28">
        <v>20625</v>
      </c>
      <c r="O144" s="28">
        <v>0.03</v>
      </c>
      <c r="P144" s="28">
        <v>3.09</v>
      </c>
      <c r="Q144" s="28">
        <v>3.04</v>
      </c>
      <c r="R144" s="26"/>
      <c r="S144" s="26"/>
      <c r="T144" s="26"/>
      <c r="U144" s="26"/>
    </row>
    <row r="145" spans="1:21" x14ac:dyDescent="0.3">
      <c r="A145" s="26"/>
      <c r="B145" s="29">
        <v>45550</v>
      </c>
      <c r="C145" s="28" t="s">
        <v>13</v>
      </c>
      <c r="D145" s="28" t="s">
        <v>83</v>
      </c>
      <c r="E145" s="28" t="s">
        <v>49</v>
      </c>
      <c r="F145" s="28" t="s">
        <v>41</v>
      </c>
      <c r="G145" s="28" t="s">
        <v>31</v>
      </c>
      <c r="H145" s="28" t="s">
        <v>87</v>
      </c>
      <c r="I145" s="28">
        <v>2550</v>
      </c>
      <c r="J145" s="28">
        <v>78000</v>
      </c>
      <c r="K145" s="28">
        <v>3900</v>
      </c>
      <c r="L145" s="28">
        <v>195</v>
      </c>
      <c r="M145" s="28">
        <v>0.05</v>
      </c>
      <c r="N145" s="28">
        <v>29250</v>
      </c>
      <c r="O145" s="28">
        <v>0.05</v>
      </c>
      <c r="P145" s="28">
        <v>0.65</v>
      </c>
      <c r="Q145" s="28">
        <v>10.47</v>
      </c>
      <c r="R145" s="26"/>
      <c r="S145" s="26"/>
      <c r="T145" s="26"/>
      <c r="U145" s="26"/>
    </row>
    <row r="146" spans="1:21" x14ac:dyDescent="0.3">
      <c r="A146" s="26"/>
      <c r="B146" s="29">
        <v>45557</v>
      </c>
      <c r="C146" s="28" t="s">
        <v>12</v>
      </c>
      <c r="D146" s="28" t="s">
        <v>81</v>
      </c>
      <c r="E146" s="28" t="s">
        <v>48</v>
      </c>
      <c r="F146" s="28" t="s">
        <v>40</v>
      </c>
      <c r="G146" s="28" t="s">
        <v>32</v>
      </c>
      <c r="H146" s="28" t="s">
        <v>87</v>
      </c>
      <c r="I146" s="28">
        <v>2250</v>
      </c>
      <c r="J146" s="28">
        <v>80000</v>
      </c>
      <c r="K146" s="28">
        <v>3200</v>
      </c>
      <c r="L146" s="28">
        <v>160</v>
      </c>
      <c r="M146" s="28">
        <v>0.05</v>
      </c>
      <c r="N146" s="28">
        <v>24000</v>
      </c>
      <c r="O146" s="28">
        <v>0.04</v>
      </c>
      <c r="P146" s="28">
        <v>0.7</v>
      </c>
      <c r="Q146" s="28">
        <v>9.67</v>
      </c>
      <c r="R146" s="26"/>
      <c r="S146" s="26"/>
      <c r="T146" s="26"/>
      <c r="U146" s="26"/>
    </row>
    <row r="147" spans="1:21" x14ac:dyDescent="0.3">
      <c r="A147" s="26"/>
      <c r="B147" s="29">
        <v>45564</v>
      </c>
      <c r="C147" s="28" t="s">
        <v>12</v>
      </c>
      <c r="D147" s="28" t="s">
        <v>82</v>
      </c>
      <c r="E147" s="28" t="s">
        <v>47</v>
      </c>
      <c r="F147" s="28" t="s">
        <v>42</v>
      </c>
      <c r="G147" s="28" t="s">
        <v>33</v>
      </c>
      <c r="H147" s="28" t="s">
        <v>88</v>
      </c>
      <c r="I147" s="28">
        <v>3600</v>
      </c>
      <c r="J147" s="28">
        <v>102000</v>
      </c>
      <c r="K147" s="28">
        <v>4080</v>
      </c>
      <c r="L147" s="28">
        <v>204</v>
      </c>
      <c r="M147" s="28">
        <v>0.05</v>
      </c>
      <c r="N147" s="28">
        <v>30600</v>
      </c>
      <c r="O147" s="28">
        <v>0.04</v>
      </c>
      <c r="P147" s="28">
        <v>0.88</v>
      </c>
      <c r="Q147" s="28">
        <v>7.5</v>
      </c>
      <c r="R147" s="26"/>
      <c r="S147" s="26"/>
      <c r="T147" s="26"/>
      <c r="U147" s="26"/>
    </row>
    <row r="148" spans="1:21" x14ac:dyDescent="0.3">
      <c r="A148" s="26"/>
      <c r="B148" s="29">
        <v>45571</v>
      </c>
      <c r="C148" s="28" t="s">
        <v>12</v>
      </c>
      <c r="D148" s="28" t="s">
        <v>66</v>
      </c>
      <c r="E148" s="28" t="s">
        <v>48</v>
      </c>
      <c r="F148" s="28" t="s">
        <v>42</v>
      </c>
      <c r="G148" s="28" t="s">
        <v>30</v>
      </c>
      <c r="H148" s="28" t="s">
        <v>88</v>
      </c>
      <c r="I148" s="28">
        <v>5500</v>
      </c>
      <c r="J148" s="28">
        <v>58000</v>
      </c>
      <c r="K148" s="28">
        <v>1740</v>
      </c>
      <c r="L148" s="28">
        <v>87</v>
      </c>
      <c r="M148" s="28">
        <v>0.05</v>
      </c>
      <c r="N148" s="28">
        <v>21750</v>
      </c>
      <c r="O148" s="28">
        <v>0.03</v>
      </c>
      <c r="P148" s="28">
        <v>3.16</v>
      </c>
      <c r="Q148" s="28">
        <v>2.95</v>
      </c>
      <c r="R148" s="26"/>
      <c r="S148" s="26"/>
      <c r="T148" s="26"/>
      <c r="U148" s="26"/>
    </row>
    <row r="149" spans="1:21" x14ac:dyDescent="0.3">
      <c r="A149" s="26"/>
      <c r="B149" s="29">
        <v>45578</v>
      </c>
      <c r="C149" s="28" t="s">
        <v>10</v>
      </c>
      <c r="D149" s="28" t="s">
        <v>81</v>
      </c>
      <c r="E149" s="28" t="s">
        <v>48</v>
      </c>
      <c r="F149" s="28" t="s">
        <v>43</v>
      </c>
      <c r="G149" s="28" t="s">
        <v>31</v>
      </c>
      <c r="H149" s="28" t="s">
        <v>88</v>
      </c>
      <c r="I149" s="28">
        <v>2150</v>
      </c>
      <c r="J149" s="28">
        <v>71000</v>
      </c>
      <c r="K149" s="28">
        <v>3550</v>
      </c>
      <c r="L149" s="28">
        <v>178</v>
      </c>
      <c r="M149" s="28">
        <v>0.05</v>
      </c>
      <c r="N149" s="28">
        <v>26625</v>
      </c>
      <c r="O149" s="28">
        <v>0.05</v>
      </c>
      <c r="P149" s="28">
        <v>0.61</v>
      </c>
      <c r="Q149" s="28">
        <v>11.38</v>
      </c>
      <c r="R149" s="26"/>
      <c r="S149" s="26"/>
      <c r="T149" s="26"/>
      <c r="U149" s="26"/>
    </row>
    <row r="150" spans="1:21" x14ac:dyDescent="0.3">
      <c r="A150" s="26"/>
      <c r="B150" s="29">
        <v>45585</v>
      </c>
      <c r="C150" s="28" t="s">
        <v>13</v>
      </c>
      <c r="D150" s="28" t="s">
        <v>66</v>
      </c>
      <c r="E150" s="28" t="s">
        <v>48</v>
      </c>
      <c r="F150" s="28" t="s">
        <v>45</v>
      </c>
      <c r="G150" s="28" t="s">
        <v>32</v>
      </c>
      <c r="H150" s="28" t="s">
        <v>88</v>
      </c>
      <c r="I150" s="28">
        <v>3000</v>
      </c>
      <c r="J150" s="28">
        <v>95000</v>
      </c>
      <c r="K150" s="28">
        <v>3800</v>
      </c>
      <c r="L150" s="28">
        <v>190</v>
      </c>
      <c r="M150" s="28">
        <v>0.05</v>
      </c>
      <c r="N150" s="28">
        <v>28500</v>
      </c>
      <c r="O150" s="28">
        <v>0.04</v>
      </c>
      <c r="P150" s="28">
        <v>0.79</v>
      </c>
      <c r="Q150" s="28">
        <v>8.5</v>
      </c>
      <c r="R150" s="26"/>
      <c r="S150" s="26"/>
      <c r="T150" s="26"/>
      <c r="U150" s="26"/>
    </row>
    <row r="151" spans="1:21" x14ac:dyDescent="0.3">
      <c r="A151" s="26"/>
      <c r="B151" s="29">
        <v>45592</v>
      </c>
      <c r="C151" s="28" t="s">
        <v>12</v>
      </c>
      <c r="D151" s="28" t="s">
        <v>80</v>
      </c>
      <c r="E151" s="28" t="s">
        <v>48</v>
      </c>
      <c r="F151" s="28" t="s">
        <v>45</v>
      </c>
      <c r="G151" s="28" t="s">
        <v>31</v>
      </c>
      <c r="H151" s="28" t="s">
        <v>88</v>
      </c>
      <c r="I151" s="28">
        <v>1800</v>
      </c>
      <c r="J151" s="28">
        <v>66000</v>
      </c>
      <c r="K151" s="28">
        <v>3300</v>
      </c>
      <c r="L151" s="28">
        <v>165</v>
      </c>
      <c r="M151" s="28">
        <v>0.05</v>
      </c>
      <c r="N151" s="28">
        <v>24750</v>
      </c>
      <c r="O151" s="28">
        <v>0.05</v>
      </c>
      <c r="P151" s="28">
        <v>0.55000000000000004</v>
      </c>
      <c r="Q151" s="28">
        <v>12.75</v>
      </c>
      <c r="R151" s="26"/>
      <c r="S151" s="26"/>
      <c r="T151" s="26"/>
      <c r="U151" s="26"/>
    </row>
    <row r="152" spans="1:21" x14ac:dyDescent="0.3">
      <c r="A152" s="26"/>
      <c r="B152" s="29">
        <v>45599</v>
      </c>
      <c r="C152" s="28" t="s">
        <v>11</v>
      </c>
      <c r="D152" s="28" t="s">
        <v>82</v>
      </c>
      <c r="E152" s="28" t="s">
        <v>47</v>
      </c>
      <c r="F152" s="28" t="s">
        <v>45</v>
      </c>
      <c r="G152" s="28" t="s">
        <v>33</v>
      </c>
      <c r="H152" s="28" t="s">
        <v>88</v>
      </c>
      <c r="I152" s="28">
        <v>4000</v>
      </c>
      <c r="J152" s="28">
        <v>108000</v>
      </c>
      <c r="K152" s="28">
        <v>4320</v>
      </c>
      <c r="L152" s="28">
        <v>216</v>
      </c>
      <c r="M152" s="28">
        <v>0.05</v>
      </c>
      <c r="N152" s="28">
        <v>32400</v>
      </c>
      <c r="O152" s="28">
        <v>0.04</v>
      </c>
      <c r="P152" s="28">
        <v>0.93</v>
      </c>
      <c r="Q152" s="28">
        <v>7.1</v>
      </c>
      <c r="R152" s="26"/>
      <c r="S152" s="26"/>
      <c r="T152" s="26"/>
      <c r="U152" s="26"/>
    </row>
    <row r="153" spans="1:21" x14ac:dyDescent="0.3">
      <c r="A153" s="26"/>
      <c r="B153" s="29">
        <v>45606</v>
      </c>
      <c r="C153" s="28" t="s">
        <v>13</v>
      </c>
      <c r="D153" s="28" t="s">
        <v>81</v>
      </c>
      <c r="E153" s="28" t="s">
        <v>48</v>
      </c>
      <c r="F153" s="28" t="s">
        <v>45</v>
      </c>
      <c r="G153" s="28" t="s">
        <v>30</v>
      </c>
      <c r="H153" s="28" t="s">
        <v>88</v>
      </c>
      <c r="I153" s="28">
        <v>5900</v>
      </c>
      <c r="J153" s="28">
        <v>61000</v>
      </c>
      <c r="K153" s="28">
        <v>1830</v>
      </c>
      <c r="L153" s="28">
        <v>92</v>
      </c>
      <c r="M153" s="28">
        <v>0.05</v>
      </c>
      <c r="N153" s="28">
        <v>22875</v>
      </c>
      <c r="O153" s="28">
        <v>0.03</v>
      </c>
      <c r="P153" s="28">
        <v>3.22</v>
      </c>
      <c r="Q153" s="28">
        <v>2.88</v>
      </c>
      <c r="R153" s="26"/>
      <c r="S153" s="26"/>
      <c r="T153" s="26"/>
      <c r="U153" s="26"/>
    </row>
    <row r="154" spans="1:21" x14ac:dyDescent="0.3">
      <c r="A154" s="26"/>
      <c r="B154" s="29">
        <v>45613</v>
      </c>
      <c r="C154" s="28" t="s">
        <v>12</v>
      </c>
      <c r="D154" s="28" t="s">
        <v>69</v>
      </c>
      <c r="E154" s="28" t="s">
        <v>47</v>
      </c>
      <c r="F154" s="28" t="s">
        <v>41</v>
      </c>
      <c r="G154" s="28" t="s">
        <v>32</v>
      </c>
      <c r="H154" s="28" t="s">
        <v>88</v>
      </c>
      <c r="I154" s="28">
        <v>2500</v>
      </c>
      <c r="J154" s="28">
        <v>84000</v>
      </c>
      <c r="K154" s="28">
        <v>3360</v>
      </c>
      <c r="L154" s="28">
        <v>168</v>
      </c>
      <c r="M154" s="28">
        <v>0.05</v>
      </c>
      <c r="N154" s="28">
        <v>25200</v>
      </c>
      <c r="O154" s="28">
        <v>0.04</v>
      </c>
      <c r="P154" s="28">
        <v>0.74</v>
      </c>
      <c r="Q154" s="28">
        <v>9.08</v>
      </c>
      <c r="R154" s="26"/>
      <c r="S154" s="26"/>
      <c r="T154" s="26"/>
      <c r="U154" s="26"/>
    </row>
    <row r="155" spans="1:21" x14ac:dyDescent="0.3">
      <c r="A155" s="26"/>
      <c r="B155" s="29">
        <v>45620</v>
      </c>
      <c r="C155" s="28" t="s">
        <v>13</v>
      </c>
      <c r="D155" s="28" t="s">
        <v>73</v>
      </c>
      <c r="E155" s="28" t="s">
        <v>47</v>
      </c>
      <c r="F155" s="28" t="s">
        <v>42</v>
      </c>
      <c r="G155" s="28" t="s">
        <v>33</v>
      </c>
      <c r="H155" s="28" t="s">
        <v>88</v>
      </c>
      <c r="I155" s="28">
        <v>3300</v>
      </c>
      <c r="J155" s="28">
        <v>97000</v>
      </c>
      <c r="K155" s="28">
        <v>3880</v>
      </c>
      <c r="L155" s="28">
        <v>194</v>
      </c>
      <c r="M155" s="28">
        <v>0.05</v>
      </c>
      <c r="N155" s="28">
        <v>29100</v>
      </c>
      <c r="O155" s="28">
        <v>0.04</v>
      </c>
      <c r="P155" s="28">
        <v>0.85</v>
      </c>
      <c r="Q155" s="28">
        <v>7.82</v>
      </c>
      <c r="R155" s="26"/>
      <c r="S155" s="26"/>
      <c r="T155" s="26"/>
      <c r="U155" s="26"/>
    </row>
    <row r="156" spans="1:21" x14ac:dyDescent="0.3">
      <c r="A156" s="26"/>
      <c r="B156" s="29">
        <v>45627</v>
      </c>
      <c r="C156" s="28" t="s">
        <v>11</v>
      </c>
      <c r="D156" s="28" t="s">
        <v>67</v>
      </c>
      <c r="E156" s="28" t="s">
        <v>48</v>
      </c>
      <c r="F156" s="28" t="s">
        <v>45</v>
      </c>
      <c r="G156" s="28" t="s">
        <v>31</v>
      </c>
      <c r="H156" s="28" t="s">
        <v>88</v>
      </c>
      <c r="I156" s="28">
        <v>2350</v>
      </c>
      <c r="J156" s="28">
        <v>75000</v>
      </c>
      <c r="K156" s="28">
        <v>3750</v>
      </c>
      <c r="L156" s="28">
        <v>188</v>
      </c>
      <c r="M156" s="28">
        <v>0.05</v>
      </c>
      <c r="N156" s="28">
        <v>28125</v>
      </c>
      <c r="O156" s="28">
        <v>0.05</v>
      </c>
      <c r="P156" s="28">
        <v>0.63</v>
      </c>
      <c r="Q156" s="28">
        <v>10.97</v>
      </c>
      <c r="R156" s="26"/>
      <c r="S156" s="26"/>
      <c r="T156" s="26"/>
      <c r="U156" s="26"/>
    </row>
    <row r="157" spans="1:21" x14ac:dyDescent="0.3">
      <c r="A157" s="26"/>
      <c r="B157" s="29">
        <v>45634</v>
      </c>
      <c r="C157" s="28" t="s">
        <v>12</v>
      </c>
      <c r="D157" s="28" t="s">
        <v>65</v>
      </c>
      <c r="E157" s="28" t="s">
        <v>47</v>
      </c>
      <c r="F157" s="28" t="s">
        <v>36</v>
      </c>
      <c r="G157" s="28" t="s">
        <v>30</v>
      </c>
      <c r="H157" s="28" t="s">
        <v>88</v>
      </c>
      <c r="I157" s="28">
        <v>5700</v>
      </c>
      <c r="J157" s="28">
        <v>59000</v>
      </c>
      <c r="K157" s="28">
        <v>1770</v>
      </c>
      <c r="L157" s="28">
        <v>88</v>
      </c>
      <c r="M157" s="28">
        <v>0.05</v>
      </c>
      <c r="N157" s="28">
        <v>22125</v>
      </c>
      <c r="O157" s="28">
        <v>0.03</v>
      </c>
      <c r="P157" s="28">
        <v>3.22</v>
      </c>
      <c r="Q157" s="28">
        <v>2.88</v>
      </c>
      <c r="R157" s="26"/>
      <c r="S157" s="26"/>
      <c r="T157" s="26"/>
      <c r="U157" s="26"/>
    </row>
    <row r="158" spans="1:21" x14ac:dyDescent="0.3">
      <c r="A158" s="26"/>
      <c r="B158" s="29">
        <v>45641</v>
      </c>
      <c r="C158" s="28" t="s">
        <v>11</v>
      </c>
      <c r="D158" s="28" t="s">
        <v>82</v>
      </c>
      <c r="E158" s="28" t="s">
        <v>47</v>
      </c>
      <c r="F158" s="28" t="s">
        <v>41</v>
      </c>
      <c r="G158" s="28" t="s">
        <v>31</v>
      </c>
      <c r="H158" s="28" t="s">
        <v>88</v>
      </c>
      <c r="I158" s="28">
        <v>1450</v>
      </c>
      <c r="J158" s="28">
        <v>60000</v>
      </c>
      <c r="K158" s="28">
        <v>3000</v>
      </c>
      <c r="L158" s="28">
        <v>150</v>
      </c>
      <c r="M158" s="28">
        <v>0.05</v>
      </c>
      <c r="N158" s="28">
        <v>22500</v>
      </c>
      <c r="O158" s="28">
        <v>0.05</v>
      </c>
      <c r="P158" s="28">
        <v>0.48</v>
      </c>
      <c r="Q158" s="28">
        <v>14.52</v>
      </c>
      <c r="R158" s="26"/>
      <c r="S158" s="26"/>
      <c r="T158" s="26"/>
      <c r="U158" s="26"/>
    </row>
    <row r="159" spans="1:21" x14ac:dyDescent="0.3">
      <c r="A159" s="26"/>
      <c r="B159" s="29">
        <v>45648</v>
      </c>
      <c r="C159" s="28" t="s">
        <v>12</v>
      </c>
      <c r="D159" s="28" t="s">
        <v>66</v>
      </c>
      <c r="E159" s="28" t="s">
        <v>48</v>
      </c>
      <c r="F159" s="28" t="s">
        <v>35</v>
      </c>
      <c r="G159" s="28" t="s">
        <v>32</v>
      </c>
      <c r="H159" s="28" t="s">
        <v>88</v>
      </c>
      <c r="I159" s="28">
        <v>2800</v>
      </c>
      <c r="J159" s="28">
        <v>90000</v>
      </c>
      <c r="K159" s="28">
        <v>3600</v>
      </c>
      <c r="L159" s="28">
        <v>180</v>
      </c>
      <c r="M159" s="28">
        <v>0.05</v>
      </c>
      <c r="N159" s="28">
        <v>27000</v>
      </c>
      <c r="O159" s="28">
        <v>0.04</v>
      </c>
      <c r="P159" s="28">
        <v>0.78</v>
      </c>
      <c r="Q159" s="28">
        <v>8.64</v>
      </c>
      <c r="R159" s="26"/>
      <c r="S159" s="26"/>
      <c r="T159" s="26"/>
      <c r="U159" s="26"/>
    </row>
    <row r="160" spans="1:21" x14ac:dyDescent="0.3">
      <c r="A160" s="26"/>
      <c r="B160" s="29">
        <v>45655</v>
      </c>
      <c r="C160" s="28" t="s">
        <v>11</v>
      </c>
      <c r="D160" s="28" t="s">
        <v>69</v>
      </c>
      <c r="E160" s="28" t="s">
        <v>47</v>
      </c>
      <c r="F160" s="28" t="s">
        <v>43</v>
      </c>
      <c r="G160" s="28" t="s">
        <v>30</v>
      </c>
      <c r="H160" s="28" t="s">
        <v>88</v>
      </c>
      <c r="I160" s="28">
        <v>6100</v>
      </c>
      <c r="J160" s="28">
        <v>63000</v>
      </c>
      <c r="K160" s="28">
        <v>1890</v>
      </c>
      <c r="L160" s="28">
        <v>94</v>
      </c>
      <c r="M160" s="28">
        <v>0.05</v>
      </c>
      <c r="N160" s="28">
        <v>23625</v>
      </c>
      <c r="O160" s="28">
        <v>0.03</v>
      </c>
      <c r="P160" s="28">
        <v>3.23</v>
      </c>
      <c r="Q160" s="28">
        <v>2.87</v>
      </c>
      <c r="R160" s="26"/>
      <c r="S160" s="26"/>
      <c r="T160" s="26"/>
      <c r="U160" s="26"/>
    </row>
    <row r="161" spans="1:21" x14ac:dyDescent="0.3">
      <c r="A161" s="26"/>
      <c r="B161" s="29">
        <v>44928</v>
      </c>
      <c r="C161" s="28" t="s">
        <v>12</v>
      </c>
      <c r="D161" s="28" t="s">
        <v>75</v>
      </c>
      <c r="E161" s="28" t="s">
        <v>47</v>
      </c>
      <c r="F161" s="28" t="s">
        <v>36</v>
      </c>
      <c r="G161" s="28" t="s">
        <v>33</v>
      </c>
      <c r="H161" s="28" t="s">
        <v>85</v>
      </c>
      <c r="I161" s="28">
        <v>1850</v>
      </c>
      <c r="J161" s="28">
        <v>62000</v>
      </c>
      <c r="K161" s="28">
        <v>3100</v>
      </c>
      <c r="L161" s="28">
        <v>155</v>
      </c>
      <c r="M161" s="28">
        <v>0.05</v>
      </c>
      <c r="N161" s="28">
        <v>23250</v>
      </c>
      <c r="O161" s="28">
        <v>0.05</v>
      </c>
      <c r="P161" s="28">
        <v>0.6</v>
      </c>
      <c r="Q161" s="28">
        <v>11.57</v>
      </c>
      <c r="R161" s="26"/>
      <c r="S161" s="26"/>
      <c r="T161" s="26"/>
      <c r="U161" s="26"/>
    </row>
    <row r="162" spans="1:21" x14ac:dyDescent="0.3">
      <c r="A162" s="26"/>
      <c r="B162" s="29">
        <v>44935</v>
      </c>
      <c r="C162" s="28" t="s">
        <v>11</v>
      </c>
      <c r="D162" s="28" t="s">
        <v>78</v>
      </c>
      <c r="E162" s="28" t="s">
        <v>48</v>
      </c>
      <c r="F162" s="28" t="s">
        <v>36</v>
      </c>
      <c r="G162" s="28" t="s">
        <v>31</v>
      </c>
      <c r="H162" s="28" t="s">
        <v>85</v>
      </c>
      <c r="I162" s="28">
        <v>2100</v>
      </c>
      <c r="J162" s="28">
        <v>70000</v>
      </c>
      <c r="K162" s="28">
        <v>3500</v>
      </c>
      <c r="L162" s="28">
        <v>175</v>
      </c>
      <c r="M162" s="28">
        <v>0.05</v>
      </c>
      <c r="N162" s="28">
        <v>26250</v>
      </c>
      <c r="O162" s="28">
        <v>0.05</v>
      </c>
      <c r="P162" s="28">
        <v>0.6</v>
      </c>
      <c r="Q162" s="28">
        <v>11.5</v>
      </c>
      <c r="R162" s="26"/>
      <c r="S162" s="26"/>
      <c r="T162" s="26"/>
      <c r="U162" s="26"/>
    </row>
    <row r="163" spans="1:21" x14ac:dyDescent="0.3">
      <c r="A163" s="26"/>
      <c r="B163" s="29">
        <v>44942</v>
      </c>
      <c r="C163" s="28" t="s">
        <v>11</v>
      </c>
      <c r="D163" s="28" t="s">
        <v>73</v>
      </c>
      <c r="E163" s="28" t="s">
        <v>47</v>
      </c>
      <c r="F163" s="28" t="s">
        <v>41</v>
      </c>
      <c r="G163" s="28" t="s">
        <v>32</v>
      </c>
      <c r="H163" s="28" t="s">
        <v>85</v>
      </c>
      <c r="I163" s="28">
        <v>3900</v>
      </c>
      <c r="J163" s="28">
        <v>120000</v>
      </c>
      <c r="K163" s="28">
        <v>4800</v>
      </c>
      <c r="L163" s="28">
        <v>240</v>
      </c>
      <c r="M163" s="28">
        <v>0.05</v>
      </c>
      <c r="N163" s="28">
        <v>36000</v>
      </c>
      <c r="O163" s="28">
        <v>0.04</v>
      </c>
      <c r="P163" s="28">
        <v>0.81</v>
      </c>
      <c r="Q163" s="28">
        <v>8.23</v>
      </c>
      <c r="R163" s="26"/>
      <c r="S163" s="26"/>
      <c r="T163" s="26"/>
      <c r="U163" s="26"/>
    </row>
    <row r="164" spans="1:21" x14ac:dyDescent="0.3">
      <c r="A164" s="26"/>
      <c r="B164" s="29">
        <v>44949</v>
      </c>
      <c r="C164" s="28" t="s">
        <v>13</v>
      </c>
      <c r="D164" s="28" t="s">
        <v>79</v>
      </c>
      <c r="E164" s="28" t="s">
        <v>47</v>
      </c>
      <c r="F164" s="28" t="s">
        <v>42</v>
      </c>
      <c r="G164" s="28" t="s">
        <v>30</v>
      </c>
      <c r="H164" s="28" t="s">
        <v>85</v>
      </c>
      <c r="I164" s="28">
        <v>4800</v>
      </c>
      <c r="J164" s="28">
        <v>50000</v>
      </c>
      <c r="K164" s="28">
        <v>1500</v>
      </c>
      <c r="L164" s="28">
        <v>75</v>
      </c>
      <c r="M164" s="28">
        <v>0.05</v>
      </c>
      <c r="N164" s="28">
        <v>18750</v>
      </c>
      <c r="O164" s="28">
        <v>0.03</v>
      </c>
      <c r="P164" s="28">
        <v>3.2</v>
      </c>
      <c r="Q164" s="28">
        <v>2.91</v>
      </c>
      <c r="R164" s="26"/>
      <c r="S164" s="26"/>
      <c r="T164" s="26"/>
      <c r="U164" s="26"/>
    </row>
    <row r="165" spans="1:21" x14ac:dyDescent="0.3">
      <c r="A165" s="26"/>
      <c r="B165" s="29">
        <v>44956</v>
      </c>
      <c r="C165" s="28" t="s">
        <v>11</v>
      </c>
      <c r="D165" s="28" t="s">
        <v>84</v>
      </c>
      <c r="E165" s="28" t="s">
        <v>48</v>
      </c>
      <c r="F165" s="28" t="s">
        <v>41</v>
      </c>
      <c r="G165" s="28" t="s">
        <v>31</v>
      </c>
      <c r="H165" s="28" t="s">
        <v>85</v>
      </c>
      <c r="I165" s="28">
        <v>1550</v>
      </c>
      <c r="J165" s="28">
        <v>58000</v>
      </c>
      <c r="K165" s="28">
        <v>2900</v>
      </c>
      <c r="L165" s="28">
        <v>145</v>
      </c>
      <c r="M165" s="28">
        <v>0.05</v>
      </c>
      <c r="N165" s="28">
        <v>21750</v>
      </c>
      <c r="O165" s="28">
        <v>0.05</v>
      </c>
      <c r="P165" s="28">
        <v>0.53</v>
      </c>
      <c r="Q165" s="28">
        <v>13.03</v>
      </c>
      <c r="R165" s="26"/>
      <c r="S165" s="26"/>
      <c r="T165" s="26"/>
      <c r="U165" s="26"/>
    </row>
    <row r="166" spans="1:21" x14ac:dyDescent="0.3">
      <c r="A166" s="26"/>
      <c r="B166" s="29">
        <v>44963</v>
      </c>
      <c r="C166" s="28" t="s">
        <v>11</v>
      </c>
      <c r="D166" s="28" t="s">
        <v>75</v>
      </c>
      <c r="E166" s="28" t="s">
        <v>47</v>
      </c>
      <c r="F166" s="28" t="s">
        <v>41</v>
      </c>
      <c r="G166" s="28" t="s">
        <v>32</v>
      </c>
      <c r="H166" s="28" t="s">
        <v>85</v>
      </c>
      <c r="I166" s="28">
        <v>3300</v>
      </c>
      <c r="J166" s="28">
        <v>110000</v>
      </c>
      <c r="K166" s="28">
        <v>4400</v>
      </c>
      <c r="L166" s="28">
        <v>220</v>
      </c>
      <c r="M166" s="28">
        <v>0.05</v>
      </c>
      <c r="N166" s="28">
        <v>33000</v>
      </c>
      <c r="O166" s="28">
        <v>0.04</v>
      </c>
      <c r="P166" s="28">
        <v>0.75</v>
      </c>
      <c r="Q166" s="28">
        <v>9</v>
      </c>
      <c r="R166" s="26"/>
      <c r="S166" s="26"/>
      <c r="T166" s="26"/>
      <c r="U166" s="26"/>
    </row>
    <row r="167" spans="1:21" x14ac:dyDescent="0.3">
      <c r="A167" s="26"/>
      <c r="B167" s="29">
        <v>44970</v>
      </c>
      <c r="C167" s="28" t="s">
        <v>11</v>
      </c>
      <c r="D167" s="28" t="s">
        <v>84</v>
      </c>
      <c r="E167" s="28" t="s">
        <v>48</v>
      </c>
      <c r="F167" s="28" t="s">
        <v>45</v>
      </c>
      <c r="G167" s="28" t="s">
        <v>33</v>
      </c>
      <c r="H167" s="28" t="s">
        <v>85</v>
      </c>
      <c r="I167" s="28">
        <v>2750</v>
      </c>
      <c r="J167" s="28">
        <v>85000</v>
      </c>
      <c r="K167" s="28">
        <v>3400</v>
      </c>
      <c r="L167" s="28">
        <v>170</v>
      </c>
      <c r="M167" s="28">
        <v>0.05</v>
      </c>
      <c r="N167" s="28">
        <v>25500</v>
      </c>
      <c r="O167" s="28">
        <v>0.04</v>
      </c>
      <c r="P167" s="28">
        <v>0.81</v>
      </c>
      <c r="Q167" s="28">
        <v>8.27</v>
      </c>
      <c r="R167" s="26"/>
      <c r="S167" s="26"/>
      <c r="T167" s="26"/>
      <c r="U167" s="26"/>
    </row>
    <row r="168" spans="1:21" x14ac:dyDescent="0.3">
      <c r="A168" s="26"/>
      <c r="B168" s="29">
        <v>44977</v>
      </c>
      <c r="C168" s="28" t="s">
        <v>12</v>
      </c>
      <c r="D168" s="28" t="s">
        <v>69</v>
      </c>
      <c r="E168" s="28" t="s">
        <v>47</v>
      </c>
      <c r="F168" s="28" t="s">
        <v>45</v>
      </c>
      <c r="G168" s="28" t="s">
        <v>31</v>
      </c>
      <c r="H168" s="28" t="s">
        <v>85</v>
      </c>
      <c r="I168" s="28">
        <v>2350</v>
      </c>
      <c r="J168" s="28">
        <v>75000</v>
      </c>
      <c r="K168" s="28">
        <v>3750</v>
      </c>
      <c r="L168" s="28">
        <v>188</v>
      </c>
      <c r="M168" s="28">
        <v>0.05</v>
      </c>
      <c r="N168" s="28">
        <v>28125</v>
      </c>
      <c r="O168" s="28">
        <v>0.05</v>
      </c>
      <c r="P168" s="28">
        <v>0.63</v>
      </c>
      <c r="Q168" s="28">
        <v>10.97</v>
      </c>
      <c r="R168" s="26"/>
      <c r="S168" s="26"/>
      <c r="T168" s="26"/>
      <c r="U168" s="26"/>
    </row>
    <row r="169" spans="1:21" x14ac:dyDescent="0.3">
      <c r="A169" s="26"/>
      <c r="B169" s="29">
        <v>44984</v>
      </c>
      <c r="C169" s="28" t="s">
        <v>11</v>
      </c>
      <c r="D169" s="28" t="s">
        <v>65</v>
      </c>
      <c r="E169" s="28" t="s">
        <v>47</v>
      </c>
      <c r="F169" s="28" t="s">
        <v>36</v>
      </c>
      <c r="G169" s="28" t="s">
        <v>30</v>
      </c>
      <c r="H169" s="28" t="s">
        <v>85</v>
      </c>
      <c r="I169" s="28">
        <v>5400</v>
      </c>
      <c r="J169" s="28">
        <v>58000</v>
      </c>
      <c r="K169" s="28">
        <v>1740</v>
      </c>
      <c r="L169" s="28">
        <v>87</v>
      </c>
      <c r="M169" s="28">
        <v>0.05</v>
      </c>
      <c r="N169" s="28">
        <v>21750</v>
      </c>
      <c r="O169" s="28">
        <v>0.03</v>
      </c>
      <c r="P169" s="28">
        <v>3.1</v>
      </c>
      <c r="Q169" s="28">
        <v>3.03</v>
      </c>
      <c r="R169" s="26"/>
      <c r="S169" s="26"/>
      <c r="T169" s="26"/>
      <c r="U169" s="26"/>
    </row>
    <row r="170" spans="1:21" x14ac:dyDescent="0.3">
      <c r="A170" s="26"/>
      <c r="B170" s="29">
        <v>44991</v>
      </c>
      <c r="C170" s="28" t="s">
        <v>12</v>
      </c>
      <c r="D170" s="28" t="s">
        <v>83</v>
      </c>
      <c r="E170" s="28" t="s">
        <v>49</v>
      </c>
      <c r="F170" s="28" t="s">
        <v>45</v>
      </c>
      <c r="G170" s="28" t="s">
        <v>33</v>
      </c>
      <c r="H170" s="28" t="s">
        <v>85</v>
      </c>
      <c r="I170" s="28">
        <v>3050</v>
      </c>
      <c r="J170" s="28">
        <v>92000</v>
      </c>
      <c r="K170" s="28">
        <v>3680</v>
      </c>
      <c r="L170" s="28">
        <v>184</v>
      </c>
      <c r="M170" s="28">
        <v>0.05</v>
      </c>
      <c r="N170" s="28">
        <v>27600</v>
      </c>
      <c r="O170" s="28">
        <v>0.04</v>
      </c>
      <c r="P170" s="28">
        <v>0.83</v>
      </c>
      <c r="Q170" s="28">
        <v>8.0500000000000007</v>
      </c>
      <c r="R170" s="26"/>
      <c r="S170" s="26"/>
      <c r="T170" s="26"/>
      <c r="U170" s="26"/>
    </row>
    <row r="171" spans="1:21" x14ac:dyDescent="0.3">
      <c r="A171" s="26"/>
      <c r="B171" s="29">
        <v>45110</v>
      </c>
      <c r="C171" s="28" t="s">
        <v>12</v>
      </c>
      <c r="D171" s="28" t="s">
        <v>66</v>
      </c>
      <c r="E171" s="28" t="s">
        <v>48</v>
      </c>
      <c r="F171" s="28" t="s">
        <v>39</v>
      </c>
      <c r="G171" s="28" t="s">
        <v>31</v>
      </c>
      <c r="H171" s="28" t="s">
        <v>87</v>
      </c>
      <c r="I171" s="28">
        <v>2400</v>
      </c>
      <c r="J171" s="28">
        <v>76000</v>
      </c>
      <c r="K171" s="28">
        <v>3800</v>
      </c>
      <c r="L171" s="28">
        <v>190</v>
      </c>
      <c r="M171" s="28">
        <v>0.05</v>
      </c>
      <c r="N171" s="28">
        <v>28500</v>
      </c>
      <c r="O171" s="28">
        <v>0.05</v>
      </c>
      <c r="P171" s="28">
        <v>0.63</v>
      </c>
      <c r="Q171" s="28">
        <v>10.88</v>
      </c>
      <c r="R171" s="26"/>
      <c r="S171" s="26"/>
      <c r="T171" s="26"/>
      <c r="U171" s="26"/>
    </row>
    <row r="172" spans="1:21" x14ac:dyDescent="0.3">
      <c r="A172" s="26"/>
      <c r="B172" s="29">
        <v>45117</v>
      </c>
      <c r="C172" s="28" t="s">
        <v>11</v>
      </c>
      <c r="D172" s="28" t="s">
        <v>79</v>
      </c>
      <c r="E172" s="28" t="s">
        <v>47</v>
      </c>
      <c r="F172" s="28" t="s">
        <v>45</v>
      </c>
      <c r="G172" s="28" t="s">
        <v>33</v>
      </c>
      <c r="H172" s="28" t="s">
        <v>87</v>
      </c>
      <c r="I172" s="28">
        <v>2950</v>
      </c>
      <c r="J172" s="28">
        <v>89000</v>
      </c>
      <c r="K172" s="28">
        <v>3560</v>
      </c>
      <c r="L172" s="28">
        <v>178</v>
      </c>
      <c r="M172" s="28">
        <v>0.05</v>
      </c>
      <c r="N172" s="28">
        <v>26700</v>
      </c>
      <c r="O172" s="28">
        <v>0.04</v>
      </c>
      <c r="P172" s="28">
        <v>0.83</v>
      </c>
      <c r="Q172" s="28">
        <v>8.0500000000000007</v>
      </c>
      <c r="R172" s="26"/>
      <c r="S172" s="26"/>
      <c r="T172" s="26"/>
      <c r="U172" s="26"/>
    </row>
    <row r="173" spans="1:21" x14ac:dyDescent="0.3">
      <c r="A173" s="26"/>
      <c r="B173" s="29">
        <v>45124</v>
      </c>
      <c r="C173" s="28" t="s">
        <v>13</v>
      </c>
      <c r="D173" s="28" t="s">
        <v>71</v>
      </c>
      <c r="E173" s="28" t="s">
        <v>48</v>
      </c>
      <c r="F173" s="28" t="s">
        <v>41</v>
      </c>
      <c r="G173" s="28" t="s">
        <v>31</v>
      </c>
      <c r="H173" s="28" t="s">
        <v>87</v>
      </c>
      <c r="I173" s="28">
        <v>1850</v>
      </c>
      <c r="J173" s="28">
        <v>66000</v>
      </c>
      <c r="K173" s="28">
        <v>3300</v>
      </c>
      <c r="L173" s="28">
        <v>165</v>
      </c>
      <c r="M173" s="28">
        <v>0.05</v>
      </c>
      <c r="N173" s="28">
        <v>24750</v>
      </c>
      <c r="O173" s="28">
        <v>0.05</v>
      </c>
      <c r="P173" s="28">
        <v>0.56000000000000005</v>
      </c>
      <c r="Q173" s="28">
        <v>12.38</v>
      </c>
      <c r="R173" s="26"/>
      <c r="S173" s="26"/>
      <c r="T173" s="26"/>
      <c r="U173" s="26"/>
    </row>
    <row r="174" spans="1:21" x14ac:dyDescent="0.3">
      <c r="A174" s="26"/>
      <c r="B174" s="29">
        <v>45131</v>
      </c>
      <c r="C174" s="28" t="s">
        <v>12</v>
      </c>
      <c r="D174" s="28" t="s">
        <v>82</v>
      </c>
      <c r="E174" s="28" t="s">
        <v>47</v>
      </c>
      <c r="F174" s="28" t="s">
        <v>45</v>
      </c>
      <c r="G174" s="28" t="s">
        <v>32</v>
      </c>
      <c r="H174" s="28" t="s">
        <v>87</v>
      </c>
      <c r="I174" s="28">
        <v>3500</v>
      </c>
      <c r="J174" s="28">
        <v>112000</v>
      </c>
      <c r="K174" s="28">
        <v>4480</v>
      </c>
      <c r="L174" s="28">
        <v>224</v>
      </c>
      <c r="M174" s="28">
        <v>0.05</v>
      </c>
      <c r="N174" s="28">
        <v>33600</v>
      </c>
      <c r="O174" s="28">
        <v>0.04</v>
      </c>
      <c r="P174" s="28">
        <v>0.78</v>
      </c>
      <c r="Q174" s="28">
        <v>8.6</v>
      </c>
      <c r="R174" s="26"/>
      <c r="S174" s="26"/>
      <c r="T174" s="26"/>
      <c r="U174" s="26"/>
    </row>
    <row r="175" spans="1:21" x14ac:dyDescent="0.3">
      <c r="A175" s="26"/>
      <c r="B175" s="29">
        <v>45138</v>
      </c>
      <c r="C175" s="28" t="s">
        <v>12</v>
      </c>
      <c r="D175" s="28" t="s">
        <v>67</v>
      </c>
      <c r="E175" s="28" t="s">
        <v>48</v>
      </c>
      <c r="F175" s="28" t="s">
        <v>44</v>
      </c>
      <c r="G175" s="28" t="s">
        <v>30</v>
      </c>
      <c r="H175" s="28" t="s">
        <v>87</v>
      </c>
      <c r="I175" s="28">
        <v>5700</v>
      </c>
      <c r="J175" s="28">
        <v>59000</v>
      </c>
      <c r="K175" s="28">
        <v>1770</v>
      </c>
      <c r="L175" s="28">
        <v>88</v>
      </c>
      <c r="M175" s="28">
        <v>0.05</v>
      </c>
      <c r="N175" s="28">
        <v>22125</v>
      </c>
      <c r="O175" s="28">
        <v>0.03</v>
      </c>
      <c r="P175" s="28">
        <v>3.22</v>
      </c>
      <c r="Q175" s="28">
        <v>2.88</v>
      </c>
      <c r="R175" s="26"/>
      <c r="S175" s="26"/>
      <c r="T175" s="26"/>
      <c r="U175" s="26"/>
    </row>
    <row r="176" spans="1:21" x14ac:dyDescent="0.3">
      <c r="A176" s="26"/>
      <c r="B176" s="29">
        <v>45145</v>
      </c>
      <c r="C176" s="28" t="s">
        <v>13</v>
      </c>
      <c r="D176" s="28" t="s">
        <v>84</v>
      </c>
      <c r="E176" s="28" t="s">
        <v>48</v>
      </c>
      <c r="F176" s="28" t="s">
        <v>44</v>
      </c>
      <c r="G176" s="28" t="s">
        <v>31</v>
      </c>
      <c r="H176" s="28" t="s">
        <v>87</v>
      </c>
      <c r="I176" s="28">
        <v>2550</v>
      </c>
      <c r="J176" s="28">
        <v>78000</v>
      </c>
      <c r="K176" s="28">
        <v>3900</v>
      </c>
      <c r="L176" s="28">
        <v>195</v>
      </c>
      <c r="M176" s="28">
        <v>0.05</v>
      </c>
      <c r="N176" s="28">
        <v>29250</v>
      </c>
      <c r="O176" s="28">
        <v>0.05</v>
      </c>
      <c r="P176" s="28">
        <v>0.65</v>
      </c>
      <c r="Q176" s="28">
        <v>10.47</v>
      </c>
      <c r="R176" s="26"/>
      <c r="S176" s="26"/>
      <c r="T176" s="26"/>
      <c r="U176" s="26"/>
    </row>
    <row r="177" spans="1:21" x14ac:dyDescent="0.3">
      <c r="A177" s="26"/>
      <c r="B177" s="29">
        <v>45236</v>
      </c>
      <c r="C177" s="28" t="s">
        <v>11</v>
      </c>
      <c r="D177" s="28" t="s">
        <v>79</v>
      </c>
      <c r="E177" s="28" t="s">
        <v>47</v>
      </c>
      <c r="F177" s="28" t="s">
        <v>45</v>
      </c>
      <c r="G177" s="28" t="s">
        <v>33</v>
      </c>
      <c r="H177" s="28" t="s">
        <v>88</v>
      </c>
      <c r="I177" s="28">
        <v>3500</v>
      </c>
      <c r="J177" s="28">
        <v>105000</v>
      </c>
      <c r="K177" s="28">
        <v>4200</v>
      </c>
      <c r="L177" s="28">
        <v>210</v>
      </c>
      <c r="M177" s="28">
        <v>0.05</v>
      </c>
      <c r="N177" s="28">
        <v>31500</v>
      </c>
      <c r="O177" s="28">
        <v>0.04</v>
      </c>
      <c r="P177" s="28">
        <v>0.83</v>
      </c>
      <c r="Q177" s="28">
        <v>8</v>
      </c>
      <c r="R177" s="26"/>
      <c r="S177" s="26"/>
      <c r="T177" s="26"/>
      <c r="U177" s="26"/>
    </row>
    <row r="178" spans="1:21" x14ac:dyDescent="0.3">
      <c r="A178" s="26"/>
      <c r="B178" s="29">
        <v>45243</v>
      </c>
      <c r="C178" s="28" t="s">
        <v>12</v>
      </c>
      <c r="D178" s="28" t="s">
        <v>65</v>
      </c>
      <c r="E178" s="28" t="s">
        <v>47</v>
      </c>
      <c r="F178" s="28" t="s">
        <v>41</v>
      </c>
      <c r="G178" s="28" t="s">
        <v>30</v>
      </c>
      <c r="H178" s="28" t="s">
        <v>88</v>
      </c>
      <c r="I178" s="28">
        <v>5500</v>
      </c>
      <c r="J178" s="28">
        <v>58000</v>
      </c>
      <c r="K178" s="28">
        <v>1740</v>
      </c>
      <c r="L178" s="28">
        <v>87</v>
      </c>
      <c r="M178" s="28">
        <v>0.05</v>
      </c>
      <c r="N178" s="28">
        <v>21750</v>
      </c>
      <c r="O178" s="28">
        <v>0.03</v>
      </c>
      <c r="P178" s="28">
        <v>3.16</v>
      </c>
      <c r="Q178" s="28">
        <v>2.95</v>
      </c>
      <c r="R178" s="26"/>
      <c r="S178" s="26"/>
      <c r="T178" s="26"/>
      <c r="U178" s="26"/>
    </row>
    <row r="179" spans="1:21" x14ac:dyDescent="0.3">
      <c r="A179" s="26"/>
      <c r="B179" s="29">
        <v>45250</v>
      </c>
      <c r="C179" s="28" t="s">
        <v>11</v>
      </c>
      <c r="D179" s="28" t="s">
        <v>76</v>
      </c>
      <c r="E179" s="28" t="s">
        <v>49</v>
      </c>
      <c r="F179" s="28" t="s">
        <v>43</v>
      </c>
      <c r="G179" s="28" t="s">
        <v>31</v>
      </c>
      <c r="H179" s="28" t="s">
        <v>88</v>
      </c>
      <c r="I179" s="28">
        <v>2350</v>
      </c>
      <c r="J179" s="28">
        <v>75000</v>
      </c>
      <c r="K179" s="28">
        <v>3750</v>
      </c>
      <c r="L179" s="28">
        <v>188</v>
      </c>
      <c r="M179" s="28">
        <v>0.05</v>
      </c>
      <c r="N179" s="28">
        <v>28125</v>
      </c>
      <c r="O179" s="28">
        <v>0.05</v>
      </c>
      <c r="P179" s="28">
        <v>0.63</v>
      </c>
      <c r="Q179" s="28">
        <v>10.97</v>
      </c>
      <c r="R179" s="26"/>
      <c r="S179" s="26"/>
      <c r="T179" s="26"/>
      <c r="U179" s="26"/>
    </row>
    <row r="180" spans="1:21" x14ac:dyDescent="0.3">
      <c r="A180" s="26"/>
      <c r="B180" s="29">
        <v>45257</v>
      </c>
      <c r="C180" s="28" t="s">
        <v>12</v>
      </c>
      <c r="D180" s="28" t="s">
        <v>75</v>
      </c>
      <c r="E180" s="28" t="s">
        <v>47</v>
      </c>
      <c r="F180" s="28" t="s">
        <v>40</v>
      </c>
      <c r="G180" s="28" t="s">
        <v>32</v>
      </c>
      <c r="H180" s="28" t="s">
        <v>88</v>
      </c>
      <c r="I180" s="28">
        <v>3850</v>
      </c>
      <c r="J180" s="28">
        <v>119000</v>
      </c>
      <c r="K180" s="28">
        <v>4760</v>
      </c>
      <c r="L180" s="28">
        <v>238</v>
      </c>
      <c r="M180" s="28">
        <v>0.05</v>
      </c>
      <c r="N180" s="28">
        <v>35700</v>
      </c>
      <c r="O180" s="28">
        <v>0.04</v>
      </c>
      <c r="P180" s="28">
        <v>0.81</v>
      </c>
      <c r="Q180" s="28">
        <v>8.27</v>
      </c>
      <c r="R180" s="26"/>
      <c r="S180" s="26"/>
      <c r="T180" s="26"/>
      <c r="U180" s="26"/>
    </row>
    <row r="181" spans="1:21" x14ac:dyDescent="0.3">
      <c r="A181" s="26"/>
      <c r="B181" s="29">
        <v>45264</v>
      </c>
      <c r="C181" s="28" t="s">
        <v>12</v>
      </c>
      <c r="D181" s="28" t="s">
        <v>80</v>
      </c>
      <c r="E181" s="28" t="s">
        <v>48</v>
      </c>
      <c r="F181" s="28" t="s">
        <v>42</v>
      </c>
      <c r="G181" s="28" t="s">
        <v>31</v>
      </c>
      <c r="H181" s="28" t="s">
        <v>88</v>
      </c>
      <c r="I181" s="28">
        <v>1950</v>
      </c>
      <c r="J181" s="28">
        <v>68000</v>
      </c>
      <c r="K181" s="28">
        <v>3400</v>
      </c>
      <c r="L181" s="28">
        <v>170</v>
      </c>
      <c r="M181" s="28">
        <v>0.05</v>
      </c>
      <c r="N181" s="28">
        <v>25500</v>
      </c>
      <c r="O181" s="28">
        <v>0.05</v>
      </c>
      <c r="P181" s="28">
        <v>0.56999999999999995</v>
      </c>
      <c r="Q181" s="28">
        <v>12.08</v>
      </c>
      <c r="R181" s="26"/>
      <c r="S181" s="26"/>
      <c r="T181" s="26"/>
      <c r="U181" s="26"/>
    </row>
    <row r="182" spans="1:21" x14ac:dyDescent="0.3">
      <c r="A182" s="26"/>
      <c r="B182" s="29">
        <v>45271</v>
      </c>
      <c r="C182" s="28" t="s">
        <v>11</v>
      </c>
      <c r="D182" s="28" t="s">
        <v>72</v>
      </c>
      <c r="E182" s="28" t="s">
        <v>47</v>
      </c>
      <c r="F182" s="28" t="s">
        <v>40</v>
      </c>
      <c r="G182" s="28" t="s">
        <v>30</v>
      </c>
      <c r="H182" s="28" t="s">
        <v>88</v>
      </c>
      <c r="I182" s="28">
        <v>5000</v>
      </c>
      <c r="J182" s="28">
        <v>54000</v>
      </c>
      <c r="K182" s="28">
        <v>1620</v>
      </c>
      <c r="L182" s="28">
        <v>81</v>
      </c>
      <c r="M182" s="28">
        <v>0.05</v>
      </c>
      <c r="N182" s="28">
        <v>20250</v>
      </c>
      <c r="O182" s="28">
        <v>0.03</v>
      </c>
      <c r="P182" s="28">
        <v>3.09</v>
      </c>
      <c r="Q182" s="28">
        <v>3.05</v>
      </c>
      <c r="R182" s="26"/>
      <c r="S182" s="26"/>
      <c r="T182" s="26"/>
      <c r="U182" s="26"/>
    </row>
    <row r="183" spans="1:21" x14ac:dyDescent="0.3">
      <c r="A183" s="26"/>
      <c r="B183" s="29">
        <v>45278</v>
      </c>
      <c r="C183" s="28" t="s">
        <v>13</v>
      </c>
      <c r="D183" s="28" t="s">
        <v>83</v>
      </c>
      <c r="E183" s="28" t="s">
        <v>49</v>
      </c>
      <c r="F183" s="28" t="s">
        <v>45</v>
      </c>
      <c r="G183" s="28" t="s">
        <v>33</v>
      </c>
      <c r="H183" s="28" t="s">
        <v>88</v>
      </c>
      <c r="I183" s="28">
        <v>3200</v>
      </c>
      <c r="J183" s="28">
        <v>97000</v>
      </c>
      <c r="K183" s="28">
        <v>3880</v>
      </c>
      <c r="L183" s="28">
        <v>194</v>
      </c>
      <c r="M183" s="28">
        <v>0.05</v>
      </c>
      <c r="N183" s="28">
        <v>29100</v>
      </c>
      <c r="O183" s="28">
        <v>0.04</v>
      </c>
      <c r="P183" s="28">
        <v>0.83</v>
      </c>
      <c r="Q183" s="28">
        <v>8.09</v>
      </c>
      <c r="R183" s="26"/>
      <c r="S183" s="26"/>
      <c r="T183" s="26"/>
      <c r="U183" s="26"/>
    </row>
    <row r="184" spans="1:21" x14ac:dyDescent="0.3">
      <c r="A184" s="26"/>
      <c r="B184" s="29">
        <v>45285</v>
      </c>
      <c r="C184" s="28" t="s">
        <v>13</v>
      </c>
      <c r="D184" s="28" t="s">
        <v>69</v>
      </c>
      <c r="E184" s="28" t="s">
        <v>47</v>
      </c>
      <c r="F184" s="28" t="s">
        <v>38</v>
      </c>
      <c r="G184" s="28" t="s">
        <v>32</v>
      </c>
      <c r="H184" s="28" t="s">
        <v>88</v>
      </c>
      <c r="I184" s="28">
        <v>2800</v>
      </c>
      <c r="J184" s="28">
        <v>91000</v>
      </c>
      <c r="K184" s="28">
        <v>3640</v>
      </c>
      <c r="L184" s="28">
        <v>182</v>
      </c>
      <c r="M184" s="28">
        <v>0.05</v>
      </c>
      <c r="N184" s="28">
        <v>27300</v>
      </c>
      <c r="O184" s="28">
        <v>0.04</v>
      </c>
      <c r="P184" s="28">
        <v>0.77</v>
      </c>
      <c r="Q184" s="28">
        <v>8.75</v>
      </c>
      <c r="R184" s="26"/>
      <c r="S184" s="26"/>
      <c r="T184" s="26"/>
      <c r="U184" s="26"/>
    </row>
    <row r="185" spans="1:21" x14ac:dyDescent="0.3">
      <c r="A185" s="26"/>
      <c r="B185" s="29">
        <v>45522</v>
      </c>
      <c r="C185" s="28" t="s">
        <v>11</v>
      </c>
      <c r="D185" s="28" t="s">
        <v>84</v>
      </c>
      <c r="E185" s="28" t="s">
        <v>48</v>
      </c>
      <c r="F185" s="28" t="s">
        <v>40</v>
      </c>
      <c r="G185" s="28" t="s">
        <v>31</v>
      </c>
      <c r="H185" s="28" t="s">
        <v>85</v>
      </c>
      <c r="I185" s="28">
        <v>1600</v>
      </c>
      <c r="J185" s="28">
        <v>60000</v>
      </c>
      <c r="K185" s="28">
        <v>3000</v>
      </c>
      <c r="L185" s="28">
        <v>150</v>
      </c>
      <c r="M185" s="28">
        <v>0.05</v>
      </c>
      <c r="N185" s="28">
        <v>22500</v>
      </c>
      <c r="O185" s="28">
        <v>0.05</v>
      </c>
      <c r="P185" s="28">
        <v>0.53</v>
      </c>
      <c r="Q185" s="28">
        <v>13.06</v>
      </c>
      <c r="R185" s="26"/>
      <c r="S185" s="26"/>
      <c r="T185" s="26"/>
      <c r="U185" s="26"/>
    </row>
    <row r="186" spans="1:21" x14ac:dyDescent="0.3">
      <c r="A186" s="26"/>
      <c r="B186" s="29">
        <v>45529</v>
      </c>
      <c r="C186" s="28" t="s">
        <v>12</v>
      </c>
      <c r="D186" s="28" t="s">
        <v>71</v>
      </c>
      <c r="E186" s="28" t="s">
        <v>48</v>
      </c>
      <c r="F186" s="28" t="s">
        <v>36</v>
      </c>
      <c r="G186" s="28" t="s">
        <v>33</v>
      </c>
      <c r="H186" s="28" t="s">
        <v>85</v>
      </c>
      <c r="I186" s="28">
        <v>2950</v>
      </c>
      <c r="J186" s="28">
        <v>89000</v>
      </c>
      <c r="K186" s="28">
        <v>3560</v>
      </c>
      <c r="L186" s="28">
        <v>178</v>
      </c>
      <c r="M186" s="28">
        <v>0.05</v>
      </c>
      <c r="N186" s="28">
        <v>26700</v>
      </c>
      <c r="O186" s="28">
        <v>0.04</v>
      </c>
      <c r="P186" s="28">
        <v>0.83</v>
      </c>
      <c r="Q186" s="28">
        <v>8.0500000000000007</v>
      </c>
      <c r="R186" s="26"/>
      <c r="S186" s="26"/>
      <c r="T186" s="26"/>
      <c r="U186" s="26"/>
    </row>
    <row r="187" spans="1:21" x14ac:dyDescent="0.3">
      <c r="A187" s="26"/>
      <c r="B187" s="29">
        <v>45536</v>
      </c>
      <c r="C187" s="28" t="s">
        <v>12</v>
      </c>
      <c r="D187" s="28" t="s">
        <v>79</v>
      </c>
      <c r="E187" s="28" t="s">
        <v>47</v>
      </c>
      <c r="F187" s="28" t="s">
        <v>45</v>
      </c>
      <c r="G187" s="28" t="s">
        <v>30</v>
      </c>
      <c r="H187" s="28" t="s">
        <v>85</v>
      </c>
      <c r="I187" s="28">
        <v>4600</v>
      </c>
      <c r="J187" s="28">
        <v>52000</v>
      </c>
      <c r="K187" s="28">
        <v>1560</v>
      </c>
      <c r="L187" s="28">
        <v>78</v>
      </c>
      <c r="M187" s="28">
        <v>0.05</v>
      </c>
      <c r="N187" s="28">
        <v>19500</v>
      </c>
      <c r="O187" s="28">
        <v>0.03</v>
      </c>
      <c r="P187" s="28">
        <v>2.95</v>
      </c>
      <c r="Q187" s="28">
        <v>3.24</v>
      </c>
      <c r="R187" s="26"/>
      <c r="S187" s="26"/>
      <c r="T187" s="26"/>
      <c r="U187" s="26"/>
    </row>
    <row r="188" spans="1:21" x14ac:dyDescent="0.3">
      <c r="A188" s="26"/>
      <c r="B188" s="29">
        <v>45543</v>
      </c>
      <c r="C188" s="28" t="s">
        <v>12</v>
      </c>
      <c r="D188" s="28" t="s">
        <v>82</v>
      </c>
      <c r="E188" s="28" t="s">
        <v>47</v>
      </c>
      <c r="F188" s="28" t="s">
        <v>34</v>
      </c>
      <c r="G188" s="28" t="s">
        <v>31</v>
      </c>
      <c r="H188" s="28" t="s">
        <v>85</v>
      </c>
      <c r="I188" s="28">
        <v>2000</v>
      </c>
      <c r="J188" s="28">
        <v>68000</v>
      </c>
      <c r="K188" s="28">
        <v>3400</v>
      </c>
      <c r="L188" s="28">
        <v>170</v>
      </c>
      <c r="M188" s="28">
        <v>0.05</v>
      </c>
      <c r="N188" s="28">
        <v>25500</v>
      </c>
      <c r="O188" s="28">
        <v>0.05</v>
      </c>
      <c r="P188" s="28">
        <v>0.59</v>
      </c>
      <c r="Q188" s="28">
        <v>11.75</v>
      </c>
      <c r="R188" s="26"/>
      <c r="S188" s="26"/>
      <c r="T188" s="26"/>
      <c r="U188" s="26"/>
    </row>
    <row r="189" spans="1:21" x14ac:dyDescent="0.3">
      <c r="A189" s="26"/>
      <c r="B189" s="29">
        <v>45550</v>
      </c>
      <c r="C189" s="28" t="s">
        <v>12</v>
      </c>
      <c r="D189" s="28" t="s">
        <v>72</v>
      </c>
      <c r="E189" s="28" t="s">
        <v>47</v>
      </c>
      <c r="F189" s="28" t="s">
        <v>41</v>
      </c>
      <c r="G189" s="28" t="s">
        <v>32</v>
      </c>
      <c r="H189" s="28" t="s">
        <v>85</v>
      </c>
      <c r="I189" s="28">
        <v>3100</v>
      </c>
      <c r="J189" s="28">
        <v>98000</v>
      </c>
      <c r="K189" s="28">
        <v>3920</v>
      </c>
      <c r="L189" s="28">
        <v>196</v>
      </c>
      <c r="M189" s="28">
        <v>0.05</v>
      </c>
      <c r="N189" s="28">
        <v>29400</v>
      </c>
      <c r="O189" s="28">
        <v>0.04</v>
      </c>
      <c r="P189" s="28">
        <v>0.79</v>
      </c>
      <c r="Q189" s="28">
        <v>8.48</v>
      </c>
      <c r="R189" s="26"/>
      <c r="S189" s="26"/>
      <c r="T189" s="26"/>
      <c r="U189" s="26"/>
    </row>
    <row r="190" spans="1:21" x14ac:dyDescent="0.3">
      <c r="A190" s="26"/>
      <c r="B190" s="29">
        <v>45557</v>
      </c>
      <c r="C190" s="28" t="s">
        <v>13</v>
      </c>
      <c r="D190" s="28" t="s">
        <v>84</v>
      </c>
      <c r="E190" s="28" t="s">
        <v>48</v>
      </c>
      <c r="F190" s="28" t="s">
        <v>41</v>
      </c>
      <c r="G190" s="28" t="s">
        <v>31</v>
      </c>
      <c r="H190" s="28" t="s">
        <v>85</v>
      </c>
      <c r="I190" s="28">
        <v>1850</v>
      </c>
      <c r="J190" s="28">
        <v>65000</v>
      </c>
      <c r="K190" s="28">
        <v>3250</v>
      </c>
      <c r="L190" s="28">
        <v>162</v>
      </c>
      <c r="M190" s="28">
        <v>0.05</v>
      </c>
      <c r="N190" s="28">
        <v>24375</v>
      </c>
      <c r="O190" s="28">
        <v>0.05</v>
      </c>
      <c r="P190" s="28">
        <v>0.56999999999999995</v>
      </c>
      <c r="Q190" s="28">
        <v>12.18</v>
      </c>
      <c r="R190" s="26"/>
      <c r="S190" s="26"/>
      <c r="T190" s="26"/>
      <c r="U190" s="26"/>
    </row>
    <row r="191" spans="1:21" x14ac:dyDescent="0.3">
      <c r="A191" s="26"/>
      <c r="B191" s="29">
        <v>45564</v>
      </c>
      <c r="C191" s="28" t="s">
        <v>11</v>
      </c>
      <c r="D191" s="28" t="s">
        <v>65</v>
      </c>
      <c r="E191" s="28" t="s">
        <v>47</v>
      </c>
      <c r="F191" s="28" t="s">
        <v>41</v>
      </c>
      <c r="G191" s="28" t="s">
        <v>33</v>
      </c>
      <c r="H191" s="28" t="s">
        <v>85</v>
      </c>
      <c r="I191" s="28">
        <v>2850</v>
      </c>
      <c r="J191" s="28">
        <v>88000</v>
      </c>
      <c r="K191" s="28">
        <v>3520</v>
      </c>
      <c r="L191" s="28">
        <v>176</v>
      </c>
      <c r="M191" s="28">
        <v>0.05</v>
      </c>
      <c r="N191" s="28">
        <v>26400</v>
      </c>
      <c r="O191" s="28">
        <v>0.04</v>
      </c>
      <c r="P191" s="28">
        <v>0.81</v>
      </c>
      <c r="Q191" s="28">
        <v>8.26</v>
      </c>
      <c r="R191" s="26"/>
      <c r="S191" s="26"/>
      <c r="T191" s="26"/>
      <c r="U191" s="26"/>
    </row>
    <row r="192" spans="1:21" x14ac:dyDescent="0.3">
      <c r="A192" s="26"/>
      <c r="B192" s="29">
        <v>45571</v>
      </c>
      <c r="C192" s="28" t="s">
        <v>11</v>
      </c>
      <c r="D192" s="28" t="s">
        <v>71</v>
      </c>
      <c r="E192" s="28" t="s">
        <v>48</v>
      </c>
      <c r="F192" s="28" t="s">
        <v>45</v>
      </c>
      <c r="G192" s="28" t="s">
        <v>32</v>
      </c>
      <c r="H192" s="28" t="s">
        <v>85</v>
      </c>
      <c r="I192" s="28">
        <v>3600</v>
      </c>
      <c r="J192" s="28">
        <v>114000</v>
      </c>
      <c r="K192" s="28">
        <v>4560</v>
      </c>
      <c r="L192" s="28">
        <v>228</v>
      </c>
      <c r="M192" s="28">
        <v>0.05</v>
      </c>
      <c r="N192" s="28">
        <v>34200</v>
      </c>
      <c r="O192" s="28">
        <v>0.04</v>
      </c>
      <c r="P192" s="28">
        <v>0.79</v>
      </c>
      <c r="Q192" s="28">
        <v>8.5</v>
      </c>
      <c r="R192" s="26"/>
      <c r="S192" s="26"/>
      <c r="T192" s="26"/>
      <c r="U192" s="26"/>
    </row>
    <row r="193" spans="1:21" x14ac:dyDescent="0.3">
      <c r="A193" s="26"/>
      <c r="B193" s="29">
        <v>45578</v>
      </c>
      <c r="C193" s="28" t="s">
        <v>13</v>
      </c>
      <c r="D193" s="28" t="s">
        <v>83</v>
      </c>
      <c r="E193" s="28" t="s">
        <v>49</v>
      </c>
      <c r="F193" s="28" t="s">
        <v>41</v>
      </c>
      <c r="G193" s="28" t="s">
        <v>30</v>
      </c>
      <c r="H193" s="28" t="s">
        <v>85</v>
      </c>
      <c r="I193" s="28">
        <v>5500</v>
      </c>
      <c r="J193" s="28">
        <v>59000</v>
      </c>
      <c r="K193" s="28">
        <v>1770</v>
      </c>
      <c r="L193" s="28">
        <v>88</v>
      </c>
      <c r="M193" s="28">
        <v>0.05</v>
      </c>
      <c r="N193" s="28">
        <v>22125</v>
      </c>
      <c r="O193" s="28">
        <v>0.03</v>
      </c>
      <c r="P193" s="28">
        <v>3.11</v>
      </c>
      <c r="Q193" s="28">
        <v>3.02</v>
      </c>
      <c r="R193" s="26"/>
      <c r="S193" s="26"/>
      <c r="T193" s="26"/>
      <c r="U193" s="26"/>
    </row>
    <row r="194" spans="1:21" x14ac:dyDescent="0.3">
      <c r="A194" s="26"/>
      <c r="B194" s="29">
        <v>45585</v>
      </c>
      <c r="C194" s="28" t="s">
        <v>10</v>
      </c>
      <c r="D194" s="28" t="s">
        <v>72</v>
      </c>
      <c r="E194" s="28" t="s">
        <v>47</v>
      </c>
      <c r="F194" s="28" t="s">
        <v>37</v>
      </c>
      <c r="G194" s="28" t="s">
        <v>31</v>
      </c>
      <c r="H194" s="28" t="s">
        <v>85</v>
      </c>
      <c r="I194" s="28">
        <v>2250</v>
      </c>
      <c r="J194" s="28">
        <v>74000</v>
      </c>
      <c r="K194" s="28">
        <v>3700</v>
      </c>
      <c r="L194" s="28">
        <v>185</v>
      </c>
      <c r="M194" s="28">
        <v>0.05</v>
      </c>
      <c r="N194" s="28">
        <v>27750</v>
      </c>
      <c r="O194" s="28">
        <v>0.05</v>
      </c>
      <c r="P194" s="28">
        <v>0.61</v>
      </c>
      <c r="Q194" s="28">
        <v>11.33</v>
      </c>
      <c r="R194" s="26"/>
      <c r="S194" s="26"/>
      <c r="T194" s="26"/>
      <c r="U194" s="26"/>
    </row>
    <row r="195" spans="1:21" x14ac:dyDescent="0.3">
      <c r="A195" s="26"/>
      <c r="B195" s="29">
        <v>45592</v>
      </c>
      <c r="C195" s="28" t="s">
        <v>12</v>
      </c>
      <c r="D195" s="28" t="s">
        <v>76</v>
      </c>
      <c r="E195" s="28" t="s">
        <v>49</v>
      </c>
      <c r="F195" s="28" t="s">
        <v>34</v>
      </c>
      <c r="G195" s="28" t="s">
        <v>33</v>
      </c>
      <c r="H195" s="28" t="s">
        <v>85</v>
      </c>
      <c r="I195" s="28">
        <v>3300</v>
      </c>
      <c r="J195" s="28">
        <v>100000</v>
      </c>
      <c r="K195" s="28">
        <v>4000</v>
      </c>
      <c r="L195" s="28">
        <v>200</v>
      </c>
      <c r="M195" s="28">
        <v>0.05</v>
      </c>
      <c r="N195" s="28">
        <v>30000</v>
      </c>
      <c r="O195" s="28">
        <v>0.04</v>
      </c>
      <c r="P195" s="28">
        <v>0.82</v>
      </c>
      <c r="Q195" s="28">
        <v>8.09</v>
      </c>
      <c r="R195" s="26"/>
      <c r="S195" s="26"/>
      <c r="T195" s="26"/>
      <c r="U195" s="26"/>
    </row>
    <row r="196" spans="1:21" x14ac:dyDescent="0.3">
      <c r="A196" s="26"/>
      <c r="B196" s="29">
        <v>45599</v>
      </c>
      <c r="C196" s="28" t="s">
        <v>12</v>
      </c>
      <c r="D196" s="28" t="s">
        <v>73</v>
      </c>
      <c r="E196" s="28" t="s">
        <v>47</v>
      </c>
      <c r="F196" s="28" t="s">
        <v>44</v>
      </c>
      <c r="G196" s="28" t="s">
        <v>30</v>
      </c>
      <c r="H196" s="28" t="s">
        <v>85</v>
      </c>
      <c r="I196" s="28">
        <v>5000</v>
      </c>
      <c r="J196" s="28">
        <v>55000</v>
      </c>
      <c r="K196" s="28">
        <v>1650</v>
      </c>
      <c r="L196" s="28">
        <v>82</v>
      </c>
      <c r="M196" s="28">
        <v>0.05</v>
      </c>
      <c r="N196" s="28">
        <v>20625</v>
      </c>
      <c r="O196" s="28">
        <v>0.03</v>
      </c>
      <c r="P196" s="28">
        <v>3.03</v>
      </c>
      <c r="Q196" s="28">
        <v>3.13</v>
      </c>
      <c r="R196" s="26"/>
      <c r="S196" s="26"/>
      <c r="T196" s="26"/>
      <c r="U196" s="26"/>
    </row>
    <row r="197" spans="1:21" x14ac:dyDescent="0.3">
      <c r="A197" s="26"/>
      <c r="B197" s="29">
        <v>45606</v>
      </c>
      <c r="C197" s="28" t="s">
        <v>11</v>
      </c>
      <c r="D197" s="28" t="s">
        <v>74</v>
      </c>
      <c r="E197" s="28" t="s">
        <v>49</v>
      </c>
      <c r="F197" s="28" t="s">
        <v>44</v>
      </c>
      <c r="G197" s="28" t="s">
        <v>31</v>
      </c>
      <c r="H197" s="28" t="s">
        <v>85</v>
      </c>
      <c r="I197" s="28">
        <v>1750</v>
      </c>
      <c r="J197" s="28">
        <v>63000</v>
      </c>
      <c r="K197" s="28">
        <v>3150</v>
      </c>
      <c r="L197" s="28">
        <v>158</v>
      </c>
      <c r="M197" s="28">
        <v>0.05</v>
      </c>
      <c r="N197" s="28">
        <v>23625</v>
      </c>
      <c r="O197" s="28">
        <v>0.05</v>
      </c>
      <c r="P197" s="28">
        <v>0.56000000000000005</v>
      </c>
      <c r="Q197" s="28">
        <v>12.5</v>
      </c>
      <c r="R197" s="26"/>
      <c r="S197" s="26"/>
      <c r="T197" s="26"/>
      <c r="U197" s="26"/>
    </row>
    <row r="198" spans="1:21" x14ac:dyDescent="0.3">
      <c r="A198" s="26"/>
      <c r="B198" s="29">
        <v>45613</v>
      </c>
      <c r="C198" s="28" t="s">
        <v>11</v>
      </c>
      <c r="D198" s="28" t="s">
        <v>70</v>
      </c>
      <c r="E198" s="28" t="s">
        <v>49</v>
      </c>
      <c r="F198" s="28" t="s">
        <v>34</v>
      </c>
      <c r="G198" s="28" t="s">
        <v>32</v>
      </c>
      <c r="H198" s="28" t="s">
        <v>86</v>
      </c>
      <c r="I198" s="28">
        <v>3450</v>
      </c>
      <c r="J198" s="28">
        <v>108000</v>
      </c>
      <c r="K198" s="28">
        <v>4320</v>
      </c>
      <c r="L198" s="28">
        <v>216</v>
      </c>
      <c r="M198" s="28">
        <v>0.05</v>
      </c>
      <c r="N198" s="28">
        <v>32400</v>
      </c>
      <c r="O198" s="28">
        <v>0.04</v>
      </c>
      <c r="P198" s="28">
        <v>0.8</v>
      </c>
      <c r="Q198" s="28">
        <v>8.39</v>
      </c>
      <c r="R198" s="26"/>
      <c r="S198" s="26"/>
      <c r="T198" s="26"/>
      <c r="U198" s="26"/>
    </row>
    <row r="199" spans="1:21" x14ac:dyDescent="0.3">
      <c r="A199" s="26"/>
      <c r="B199" s="29">
        <v>45390</v>
      </c>
      <c r="C199" s="28" t="s">
        <v>12</v>
      </c>
      <c r="D199" s="28" t="s">
        <v>68</v>
      </c>
      <c r="E199" s="28" t="s">
        <v>47</v>
      </c>
      <c r="F199" s="28" t="s">
        <v>34</v>
      </c>
      <c r="G199" s="28" t="s">
        <v>31</v>
      </c>
      <c r="H199" s="28" t="s">
        <v>86</v>
      </c>
      <c r="I199" s="28">
        <v>2100</v>
      </c>
      <c r="J199" s="28">
        <v>71000</v>
      </c>
      <c r="K199" s="28">
        <v>3550</v>
      </c>
      <c r="L199" s="28">
        <v>178</v>
      </c>
      <c r="M199" s="28">
        <v>0.05</v>
      </c>
      <c r="N199" s="28">
        <v>26625</v>
      </c>
      <c r="O199" s="28">
        <v>0.05</v>
      </c>
      <c r="P199" s="28">
        <v>0.59</v>
      </c>
      <c r="Q199" s="28">
        <v>11.68</v>
      </c>
      <c r="R199" s="26"/>
      <c r="S199" s="26"/>
      <c r="T199" s="26"/>
      <c r="U199" s="26"/>
    </row>
    <row r="200" spans="1:21" x14ac:dyDescent="0.3">
      <c r="A200" s="26"/>
      <c r="B200" s="29">
        <v>45397</v>
      </c>
      <c r="C200" s="28" t="s">
        <v>11</v>
      </c>
      <c r="D200" s="28" t="s">
        <v>84</v>
      </c>
      <c r="E200" s="28" t="s">
        <v>48</v>
      </c>
      <c r="F200" s="28" t="s">
        <v>44</v>
      </c>
      <c r="G200" s="28" t="s">
        <v>33</v>
      </c>
      <c r="H200" s="28" t="s">
        <v>86</v>
      </c>
      <c r="I200" s="28">
        <v>3150</v>
      </c>
      <c r="J200" s="28">
        <v>95000</v>
      </c>
      <c r="K200" s="28">
        <v>3800</v>
      </c>
      <c r="L200" s="28">
        <v>190</v>
      </c>
      <c r="M200" s="28">
        <v>0.05</v>
      </c>
      <c r="N200" s="28">
        <v>28500</v>
      </c>
      <c r="O200" s="28">
        <v>0.04</v>
      </c>
      <c r="P200" s="28">
        <v>0.83</v>
      </c>
      <c r="Q200" s="28">
        <v>8.0500000000000007</v>
      </c>
      <c r="R200" s="26"/>
      <c r="S200" s="26"/>
      <c r="T200" s="26"/>
      <c r="U200" s="26"/>
    </row>
    <row r="201" spans="1:21" x14ac:dyDescent="0.3">
      <c r="A201" s="26"/>
      <c r="B201" s="29">
        <v>45404</v>
      </c>
      <c r="C201" s="28" t="s">
        <v>11</v>
      </c>
      <c r="D201" s="28" t="s">
        <v>83</v>
      </c>
      <c r="E201" s="28" t="s">
        <v>49</v>
      </c>
      <c r="F201" s="28" t="s">
        <v>41</v>
      </c>
      <c r="G201" s="28" t="s">
        <v>30</v>
      </c>
      <c r="H201" s="28" t="s">
        <v>86</v>
      </c>
      <c r="I201" s="28">
        <v>5400</v>
      </c>
      <c r="J201" s="28">
        <v>58000</v>
      </c>
      <c r="K201" s="28">
        <v>1740</v>
      </c>
      <c r="L201" s="28">
        <v>87</v>
      </c>
      <c r="M201" s="28">
        <v>0.05</v>
      </c>
      <c r="N201" s="28">
        <v>21750</v>
      </c>
      <c r="O201" s="28">
        <v>0.03</v>
      </c>
      <c r="P201" s="28">
        <v>3.1</v>
      </c>
      <c r="Q201" s="28">
        <v>3.03</v>
      </c>
      <c r="R201" s="26"/>
      <c r="S201" s="26"/>
      <c r="T201" s="26"/>
      <c r="U201" s="26"/>
    </row>
    <row r="202" spans="1:21" x14ac:dyDescent="0.3">
      <c r="A202" s="26"/>
      <c r="B202" s="29">
        <v>45411</v>
      </c>
      <c r="C202" s="28" t="s">
        <v>12</v>
      </c>
      <c r="D202" s="28" t="s">
        <v>75</v>
      </c>
      <c r="E202" s="28" t="s">
        <v>47</v>
      </c>
      <c r="F202" s="28" t="s">
        <v>36</v>
      </c>
      <c r="G202" s="28" t="s">
        <v>31</v>
      </c>
      <c r="H202" s="28" t="s">
        <v>86</v>
      </c>
      <c r="I202" s="28">
        <v>1900</v>
      </c>
      <c r="J202" s="28">
        <v>66000</v>
      </c>
      <c r="K202" s="28">
        <v>3300</v>
      </c>
      <c r="L202" s="28">
        <v>165</v>
      </c>
      <c r="M202" s="28">
        <v>0.05</v>
      </c>
      <c r="N202" s="28">
        <v>24750</v>
      </c>
      <c r="O202" s="28">
        <v>0.05</v>
      </c>
      <c r="P202" s="28">
        <v>0.57999999999999996</v>
      </c>
      <c r="Q202" s="28">
        <v>12.03</v>
      </c>
      <c r="R202" s="26"/>
      <c r="S202" s="26"/>
      <c r="T202" s="26"/>
      <c r="U202" s="26"/>
    </row>
    <row r="203" spans="1:21" x14ac:dyDescent="0.3">
      <c r="A203" s="26"/>
      <c r="B203" s="29">
        <v>45418</v>
      </c>
      <c r="C203" s="28" t="s">
        <v>11</v>
      </c>
      <c r="D203" s="28" t="s">
        <v>83</v>
      </c>
      <c r="E203" s="28" t="s">
        <v>49</v>
      </c>
      <c r="F203" s="28" t="s">
        <v>36</v>
      </c>
      <c r="G203" s="28" t="s">
        <v>32</v>
      </c>
      <c r="H203" s="28" t="s">
        <v>86</v>
      </c>
      <c r="I203" s="28">
        <v>3800</v>
      </c>
      <c r="J203" s="28">
        <v>118000</v>
      </c>
      <c r="K203" s="28">
        <v>4720</v>
      </c>
      <c r="L203" s="28">
        <v>236</v>
      </c>
      <c r="M203" s="28">
        <v>0.05</v>
      </c>
      <c r="N203" s="28">
        <v>35400</v>
      </c>
      <c r="O203" s="28">
        <v>0.04</v>
      </c>
      <c r="P203" s="28">
        <v>0.81</v>
      </c>
      <c r="Q203" s="28">
        <v>8.32</v>
      </c>
      <c r="R203" s="26"/>
      <c r="S203" s="26"/>
      <c r="T203" s="26"/>
      <c r="U203" s="26"/>
    </row>
    <row r="204" spans="1:21" x14ac:dyDescent="0.3">
      <c r="A204" s="26"/>
      <c r="B204" s="29">
        <v>45425</v>
      </c>
      <c r="C204" s="28" t="s">
        <v>10</v>
      </c>
      <c r="D204" s="28" t="s">
        <v>76</v>
      </c>
      <c r="E204" s="28" t="s">
        <v>49</v>
      </c>
      <c r="F204" s="28" t="s">
        <v>43</v>
      </c>
      <c r="G204" s="28" t="s">
        <v>31</v>
      </c>
      <c r="H204" s="28" t="s">
        <v>86</v>
      </c>
      <c r="I204" s="28">
        <v>2300</v>
      </c>
      <c r="J204" s="28">
        <v>74000</v>
      </c>
      <c r="K204" s="28">
        <v>3700</v>
      </c>
      <c r="L204" s="28">
        <v>185</v>
      </c>
      <c r="M204" s="28">
        <v>0.05</v>
      </c>
      <c r="N204" s="28">
        <v>27750</v>
      </c>
      <c r="O204" s="28">
        <v>0.05</v>
      </c>
      <c r="P204" s="28">
        <v>0.62</v>
      </c>
      <c r="Q204" s="28">
        <v>11.07</v>
      </c>
      <c r="R204" s="26"/>
      <c r="S204" s="26"/>
      <c r="T204" s="26"/>
      <c r="U204" s="26"/>
    </row>
    <row r="205" spans="1:21" x14ac:dyDescent="0.3">
      <c r="A205" s="26"/>
      <c r="B205" s="29">
        <v>45432</v>
      </c>
      <c r="C205" s="28" t="s">
        <v>10</v>
      </c>
      <c r="D205" s="28" t="s">
        <v>79</v>
      </c>
      <c r="E205" s="28" t="s">
        <v>47</v>
      </c>
      <c r="F205" s="28" t="s">
        <v>45</v>
      </c>
      <c r="G205" s="28" t="s">
        <v>33</v>
      </c>
      <c r="H205" s="28" t="s">
        <v>86</v>
      </c>
      <c r="I205" s="28">
        <v>3000</v>
      </c>
      <c r="J205" s="28">
        <v>91000</v>
      </c>
      <c r="K205" s="28">
        <v>3640</v>
      </c>
      <c r="L205" s="28">
        <v>182</v>
      </c>
      <c r="M205" s="28">
        <v>0.05</v>
      </c>
      <c r="N205" s="28">
        <v>27300</v>
      </c>
      <c r="O205" s="28">
        <v>0.04</v>
      </c>
      <c r="P205" s="28">
        <v>0.82</v>
      </c>
      <c r="Q205" s="28">
        <v>8.1</v>
      </c>
      <c r="R205" s="26"/>
      <c r="S205" s="26"/>
      <c r="T205" s="26"/>
      <c r="U205" s="26"/>
    </row>
    <row r="206" spans="1:21" x14ac:dyDescent="0.3">
      <c r="A206" s="26"/>
      <c r="B206" s="29">
        <v>45439</v>
      </c>
      <c r="C206" s="28" t="s">
        <v>13</v>
      </c>
      <c r="D206" s="28" t="s">
        <v>71</v>
      </c>
      <c r="E206" s="28" t="s">
        <v>48</v>
      </c>
      <c r="F206" s="28" t="s">
        <v>41</v>
      </c>
      <c r="G206" s="28" t="s">
        <v>30</v>
      </c>
      <c r="H206" s="28" t="s">
        <v>86</v>
      </c>
      <c r="I206" s="28">
        <v>5200</v>
      </c>
      <c r="J206" s="28">
        <v>56000</v>
      </c>
      <c r="K206" s="28">
        <v>1680</v>
      </c>
      <c r="L206" s="28">
        <v>84</v>
      </c>
      <c r="M206" s="28">
        <v>0.05</v>
      </c>
      <c r="N206" s="28">
        <v>21000</v>
      </c>
      <c r="O206" s="28">
        <v>0.03</v>
      </c>
      <c r="P206" s="28">
        <v>3.1</v>
      </c>
      <c r="Q206" s="28">
        <v>3.04</v>
      </c>
      <c r="R206" s="26"/>
      <c r="S206" s="26"/>
      <c r="T206" s="26"/>
      <c r="U206" s="26"/>
    </row>
    <row r="207" spans="1:21" x14ac:dyDescent="0.3">
      <c r="A207" s="26"/>
      <c r="B207" s="29">
        <v>45446</v>
      </c>
      <c r="C207" s="28" t="s">
        <v>10</v>
      </c>
      <c r="D207" s="28" t="s">
        <v>79</v>
      </c>
      <c r="E207" s="28" t="s">
        <v>47</v>
      </c>
      <c r="F207" s="28" t="s">
        <v>44</v>
      </c>
      <c r="G207" s="28" t="s">
        <v>32</v>
      </c>
      <c r="H207" s="28" t="s">
        <v>86</v>
      </c>
      <c r="I207" s="28">
        <v>2800</v>
      </c>
      <c r="J207" s="28">
        <v>90000</v>
      </c>
      <c r="K207" s="28">
        <v>3600</v>
      </c>
      <c r="L207" s="28">
        <v>180</v>
      </c>
      <c r="M207" s="28">
        <v>0.05</v>
      </c>
      <c r="N207" s="28">
        <v>27000</v>
      </c>
      <c r="O207" s="28">
        <v>0.04</v>
      </c>
      <c r="P207" s="28">
        <v>0.78</v>
      </c>
      <c r="Q207" s="28">
        <v>8.64</v>
      </c>
      <c r="R207" s="26"/>
      <c r="S207" s="26"/>
      <c r="T207" s="26"/>
      <c r="U207" s="26"/>
    </row>
    <row r="208" spans="1:21" x14ac:dyDescent="0.3">
      <c r="A208" s="26"/>
      <c r="B208" s="29">
        <v>45453</v>
      </c>
      <c r="C208" s="28" t="s">
        <v>10</v>
      </c>
      <c r="D208" s="28" t="s">
        <v>69</v>
      </c>
      <c r="E208" s="28" t="s">
        <v>47</v>
      </c>
      <c r="F208" s="28" t="s">
        <v>41</v>
      </c>
      <c r="G208" s="28" t="s">
        <v>31</v>
      </c>
      <c r="H208" s="28" t="s">
        <v>86</v>
      </c>
      <c r="I208" s="28">
        <v>2450</v>
      </c>
      <c r="J208" s="28">
        <v>77000</v>
      </c>
      <c r="K208" s="28">
        <v>3850</v>
      </c>
      <c r="L208" s="28">
        <v>192</v>
      </c>
      <c r="M208" s="28">
        <v>0.05</v>
      </c>
      <c r="N208" s="28">
        <v>28875</v>
      </c>
      <c r="O208" s="28">
        <v>0.05</v>
      </c>
      <c r="P208" s="28">
        <v>0.64</v>
      </c>
      <c r="Q208" s="28">
        <v>10.79</v>
      </c>
      <c r="R208" s="26"/>
      <c r="S208" s="26"/>
      <c r="T208" s="26"/>
      <c r="U208" s="26"/>
    </row>
    <row r="209" spans="1:21" x14ac:dyDescent="0.3">
      <c r="A209" s="26"/>
      <c r="B209" s="29">
        <v>45460</v>
      </c>
      <c r="C209" s="28" t="s">
        <v>11</v>
      </c>
      <c r="D209" s="28" t="s">
        <v>77</v>
      </c>
      <c r="E209" s="28" t="s">
        <v>49</v>
      </c>
      <c r="F209" s="28" t="s">
        <v>44</v>
      </c>
      <c r="G209" s="28" t="s">
        <v>33</v>
      </c>
      <c r="H209" s="28" t="s">
        <v>86</v>
      </c>
      <c r="I209" s="28">
        <v>3400</v>
      </c>
      <c r="J209" s="28">
        <v>101000</v>
      </c>
      <c r="K209" s="28">
        <v>4040</v>
      </c>
      <c r="L209" s="28">
        <v>202</v>
      </c>
      <c r="M209" s="28">
        <v>0.05</v>
      </c>
      <c r="N209" s="28">
        <v>30300</v>
      </c>
      <c r="O209" s="28">
        <v>0.04</v>
      </c>
      <c r="P209" s="28">
        <v>0.84</v>
      </c>
      <c r="Q209" s="28">
        <v>7.91</v>
      </c>
      <c r="R209" s="26"/>
      <c r="S209" s="26"/>
      <c r="T209" s="26"/>
      <c r="U209" s="26"/>
    </row>
    <row r="210" spans="1:21" x14ac:dyDescent="0.3">
      <c r="A210" s="26"/>
      <c r="B210" s="29">
        <v>45467</v>
      </c>
      <c r="C210" s="28" t="s">
        <v>10</v>
      </c>
      <c r="D210" s="28" t="s">
        <v>78</v>
      </c>
      <c r="E210" s="28" t="s">
        <v>48</v>
      </c>
      <c r="F210" s="28" t="s">
        <v>43</v>
      </c>
      <c r="G210" s="28" t="s">
        <v>32</v>
      </c>
      <c r="H210" s="28" t="s">
        <v>86</v>
      </c>
      <c r="I210" s="28">
        <v>2700</v>
      </c>
      <c r="J210" s="28">
        <v>87000</v>
      </c>
      <c r="K210" s="28">
        <v>3480</v>
      </c>
      <c r="L210" s="28">
        <v>174</v>
      </c>
      <c r="M210" s="28">
        <v>0.05</v>
      </c>
      <c r="N210" s="28">
        <v>26100</v>
      </c>
      <c r="O210" s="28">
        <v>0.04</v>
      </c>
      <c r="P210" s="28">
        <v>0.78</v>
      </c>
      <c r="Q210" s="28">
        <v>8.67</v>
      </c>
      <c r="R210" s="26"/>
      <c r="S210" s="26"/>
      <c r="T210" s="26"/>
      <c r="U210" s="26"/>
    </row>
    <row r="211" spans="1:21" x14ac:dyDescent="0.3">
      <c r="A211" s="26"/>
      <c r="B211" s="29">
        <v>45474</v>
      </c>
      <c r="C211" s="28" t="s">
        <v>12</v>
      </c>
      <c r="D211" s="28" t="s">
        <v>76</v>
      </c>
      <c r="E211" s="28" t="s">
        <v>49</v>
      </c>
      <c r="F211" s="28" t="s">
        <v>45</v>
      </c>
      <c r="G211" s="28" t="s">
        <v>30</v>
      </c>
      <c r="H211" s="28" t="s">
        <v>87</v>
      </c>
      <c r="I211" s="28">
        <v>5800</v>
      </c>
      <c r="J211" s="28">
        <v>61000</v>
      </c>
      <c r="K211" s="28">
        <v>1830</v>
      </c>
      <c r="L211" s="28">
        <v>92</v>
      </c>
      <c r="M211" s="28">
        <v>0.05</v>
      </c>
      <c r="N211" s="28">
        <v>22875</v>
      </c>
      <c r="O211" s="28">
        <v>0.03</v>
      </c>
      <c r="P211" s="28">
        <v>3.17</v>
      </c>
      <c r="Q211" s="28">
        <v>2.94</v>
      </c>
      <c r="R211" s="26"/>
      <c r="S211" s="26"/>
      <c r="T211" s="26"/>
      <c r="U211" s="26"/>
    </row>
    <row r="212" spans="1:21" x14ac:dyDescent="0.3">
      <c r="A212" s="26"/>
      <c r="B212" s="29">
        <v>45481</v>
      </c>
      <c r="C212" s="28" t="s">
        <v>12</v>
      </c>
      <c r="D212" s="28" t="s">
        <v>75</v>
      </c>
      <c r="E212" s="28" t="s">
        <v>47</v>
      </c>
      <c r="F212" s="28" t="s">
        <v>43</v>
      </c>
      <c r="G212" s="28" t="s">
        <v>33</v>
      </c>
      <c r="H212" s="28" t="s">
        <v>87</v>
      </c>
      <c r="I212" s="28">
        <v>3050</v>
      </c>
      <c r="J212" s="28">
        <v>93000</v>
      </c>
      <c r="K212" s="28">
        <v>3720</v>
      </c>
      <c r="L212" s="28">
        <v>186</v>
      </c>
      <c r="M212" s="28">
        <v>0.05</v>
      </c>
      <c r="N212" s="28">
        <v>27900</v>
      </c>
      <c r="O212" s="28">
        <v>0.04</v>
      </c>
      <c r="P212" s="28">
        <v>0.82</v>
      </c>
      <c r="Q212" s="28">
        <v>8.15</v>
      </c>
      <c r="R212" s="26"/>
      <c r="S212" s="26"/>
      <c r="T212" s="26"/>
      <c r="U212" s="26"/>
    </row>
    <row r="213" spans="1:21" x14ac:dyDescent="0.3">
      <c r="A213" s="26"/>
      <c r="B213" s="29">
        <v>45488</v>
      </c>
      <c r="C213" s="28" t="s">
        <v>13</v>
      </c>
      <c r="D213" s="28" t="s">
        <v>69</v>
      </c>
      <c r="E213" s="28" t="s">
        <v>47</v>
      </c>
      <c r="F213" s="28" t="s">
        <v>41</v>
      </c>
      <c r="G213" s="28" t="s">
        <v>31</v>
      </c>
      <c r="H213" s="28" t="s">
        <v>87</v>
      </c>
      <c r="I213" s="28">
        <v>1950</v>
      </c>
      <c r="J213" s="28">
        <v>69000</v>
      </c>
      <c r="K213" s="28">
        <v>3450</v>
      </c>
      <c r="L213" s="28">
        <v>172</v>
      </c>
      <c r="M213" s="28">
        <v>0.05</v>
      </c>
      <c r="N213" s="28">
        <v>25875</v>
      </c>
      <c r="O213" s="28">
        <v>0.05</v>
      </c>
      <c r="P213" s="28">
        <v>0.56999999999999995</v>
      </c>
      <c r="Q213" s="28">
        <v>12.27</v>
      </c>
      <c r="R213" s="26"/>
      <c r="S213" s="26"/>
      <c r="T213" s="26"/>
      <c r="U213" s="26"/>
    </row>
    <row r="214" spans="1:21" x14ac:dyDescent="0.3">
      <c r="A214" s="26"/>
      <c r="B214" s="29">
        <v>45495</v>
      </c>
      <c r="C214" s="28" t="s">
        <v>11</v>
      </c>
      <c r="D214" s="28" t="s">
        <v>84</v>
      </c>
      <c r="E214" s="28" t="s">
        <v>48</v>
      </c>
      <c r="F214" s="28" t="s">
        <v>43</v>
      </c>
      <c r="G214" s="28" t="s">
        <v>32</v>
      </c>
      <c r="H214" s="28" t="s">
        <v>87</v>
      </c>
      <c r="I214" s="28">
        <v>3600</v>
      </c>
      <c r="J214" s="28">
        <v>113000</v>
      </c>
      <c r="K214" s="28">
        <v>4520</v>
      </c>
      <c r="L214" s="28">
        <v>226</v>
      </c>
      <c r="M214" s="28">
        <v>0.05</v>
      </c>
      <c r="N214" s="28">
        <v>33900</v>
      </c>
      <c r="O214" s="28">
        <v>0.04</v>
      </c>
      <c r="P214" s="28">
        <v>0.8</v>
      </c>
      <c r="Q214" s="28">
        <v>8.42</v>
      </c>
      <c r="R214" s="26"/>
      <c r="S214" s="26"/>
      <c r="T214" s="26"/>
      <c r="U214" s="26"/>
    </row>
    <row r="215" spans="1:21" x14ac:dyDescent="0.3">
      <c r="A215" s="26"/>
      <c r="B215" s="29">
        <v>45502</v>
      </c>
      <c r="C215" s="28" t="s">
        <v>10</v>
      </c>
      <c r="D215" s="28" t="s">
        <v>71</v>
      </c>
      <c r="E215" s="28" t="s">
        <v>48</v>
      </c>
      <c r="F215" s="28" t="s">
        <v>40</v>
      </c>
      <c r="G215" s="28" t="s">
        <v>31</v>
      </c>
      <c r="H215" s="28" t="s">
        <v>87</v>
      </c>
      <c r="I215" s="28">
        <v>2200</v>
      </c>
      <c r="J215" s="28">
        <v>73000</v>
      </c>
      <c r="K215" s="28">
        <v>3650</v>
      </c>
      <c r="L215" s="28">
        <v>182</v>
      </c>
      <c r="M215" s="28">
        <v>0.05</v>
      </c>
      <c r="N215" s="28">
        <v>27375</v>
      </c>
      <c r="O215" s="28">
        <v>0.05</v>
      </c>
      <c r="P215" s="28">
        <v>0.6</v>
      </c>
      <c r="Q215" s="28">
        <v>11.44</v>
      </c>
      <c r="R215" s="26"/>
      <c r="S215" s="26"/>
      <c r="T215" s="26"/>
      <c r="U215" s="26"/>
    </row>
    <row r="216" spans="1:21" x14ac:dyDescent="0.3">
      <c r="A216" s="26"/>
      <c r="B216" s="29">
        <v>45509</v>
      </c>
      <c r="C216" s="28" t="s">
        <v>12</v>
      </c>
      <c r="D216" s="28" t="s">
        <v>73</v>
      </c>
      <c r="E216" s="28" t="s">
        <v>47</v>
      </c>
      <c r="F216" s="28" t="s">
        <v>43</v>
      </c>
      <c r="G216" s="28" t="s">
        <v>30</v>
      </c>
      <c r="H216" s="28" t="s">
        <v>87</v>
      </c>
      <c r="I216" s="28">
        <v>5600</v>
      </c>
      <c r="J216" s="28">
        <v>59000</v>
      </c>
      <c r="K216" s="28">
        <v>1770</v>
      </c>
      <c r="L216" s="28">
        <v>88</v>
      </c>
      <c r="M216" s="28">
        <v>0.05</v>
      </c>
      <c r="N216" s="28">
        <v>22125</v>
      </c>
      <c r="O216" s="28">
        <v>0.03</v>
      </c>
      <c r="P216" s="28">
        <v>3.16</v>
      </c>
      <c r="Q216" s="28">
        <v>2.95</v>
      </c>
      <c r="R216" s="26"/>
      <c r="S216" s="26"/>
      <c r="T216" s="26"/>
      <c r="U216" s="26"/>
    </row>
    <row r="217" spans="1:21" x14ac:dyDescent="0.3">
      <c r="A217" s="26"/>
      <c r="B217" s="29">
        <v>45516</v>
      </c>
      <c r="C217" s="28" t="s">
        <v>13</v>
      </c>
      <c r="D217" s="28" t="s">
        <v>82</v>
      </c>
      <c r="E217" s="28" t="s">
        <v>47</v>
      </c>
      <c r="F217" s="28" t="s">
        <v>42</v>
      </c>
      <c r="G217" s="28" t="s">
        <v>31</v>
      </c>
      <c r="H217" s="28" t="s">
        <v>87</v>
      </c>
      <c r="I217" s="28">
        <v>2050</v>
      </c>
      <c r="J217" s="28">
        <v>70000</v>
      </c>
      <c r="K217" s="28">
        <v>3500</v>
      </c>
      <c r="L217" s="28">
        <v>175</v>
      </c>
      <c r="M217" s="28">
        <v>0.05</v>
      </c>
      <c r="N217" s="28">
        <v>26250</v>
      </c>
      <c r="O217" s="28">
        <v>0.05</v>
      </c>
      <c r="P217" s="28">
        <v>0.59</v>
      </c>
      <c r="Q217" s="28">
        <v>11.8</v>
      </c>
      <c r="R217" s="26"/>
      <c r="S217" s="26"/>
      <c r="T217" s="26"/>
      <c r="U217" s="26"/>
    </row>
    <row r="218" spans="1:21" x14ac:dyDescent="0.3">
      <c r="A218" s="26"/>
      <c r="B218" s="29">
        <v>45523</v>
      </c>
      <c r="C218" s="28" t="s">
        <v>12</v>
      </c>
      <c r="D218" s="28" t="s">
        <v>68</v>
      </c>
      <c r="E218" s="28" t="s">
        <v>47</v>
      </c>
      <c r="F218" s="28" t="s">
        <v>45</v>
      </c>
      <c r="G218" s="28" t="s">
        <v>33</v>
      </c>
      <c r="H218" s="28" t="s">
        <v>87</v>
      </c>
      <c r="I218" s="28">
        <v>3250</v>
      </c>
      <c r="J218" s="28">
        <v>98000</v>
      </c>
      <c r="K218" s="28">
        <v>3920</v>
      </c>
      <c r="L218" s="28">
        <v>196</v>
      </c>
      <c r="M218" s="28">
        <v>0.05</v>
      </c>
      <c r="N218" s="28">
        <v>29400</v>
      </c>
      <c r="O218" s="28">
        <v>0.04</v>
      </c>
      <c r="P218" s="28">
        <v>0.83</v>
      </c>
      <c r="Q218" s="28">
        <v>8.0500000000000007</v>
      </c>
      <c r="R218" s="26"/>
      <c r="S218" s="26"/>
      <c r="T218" s="26"/>
      <c r="U218" s="26"/>
    </row>
    <row r="219" spans="1:21" x14ac:dyDescent="0.3">
      <c r="A219" s="26"/>
      <c r="B219" s="29">
        <v>45530</v>
      </c>
      <c r="C219" s="28" t="s">
        <v>13</v>
      </c>
      <c r="D219" s="28" t="s">
        <v>71</v>
      </c>
      <c r="E219" s="28" t="s">
        <v>48</v>
      </c>
      <c r="F219" s="28" t="s">
        <v>37</v>
      </c>
      <c r="G219" s="28" t="s">
        <v>32</v>
      </c>
      <c r="H219" s="28" t="s">
        <v>87</v>
      </c>
      <c r="I219" s="28">
        <v>3950</v>
      </c>
      <c r="J219" s="28">
        <v>121000</v>
      </c>
      <c r="K219" s="28">
        <v>4840</v>
      </c>
      <c r="L219" s="28">
        <v>242</v>
      </c>
      <c r="M219" s="28">
        <v>0.05</v>
      </c>
      <c r="N219" s="28">
        <v>36300</v>
      </c>
      <c r="O219" s="28">
        <v>0.04</v>
      </c>
      <c r="P219" s="28">
        <v>0.82</v>
      </c>
      <c r="Q219" s="28">
        <v>8.19</v>
      </c>
      <c r="R219" s="26"/>
      <c r="S219" s="26"/>
      <c r="T219" s="26"/>
      <c r="U219" s="26"/>
    </row>
    <row r="220" spans="1:21" x14ac:dyDescent="0.3">
      <c r="A220" s="26"/>
      <c r="B220" s="29">
        <v>45537</v>
      </c>
      <c r="C220" s="28" t="s">
        <v>12</v>
      </c>
      <c r="D220" s="28" t="s">
        <v>81</v>
      </c>
      <c r="E220" s="28" t="s">
        <v>48</v>
      </c>
      <c r="F220" s="28" t="s">
        <v>45</v>
      </c>
      <c r="G220" s="28" t="s">
        <v>31</v>
      </c>
      <c r="H220" s="28" t="s">
        <v>87</v>
      </c>
      <c r="I220" s="28">
        <v>2400</v>
      </c>
      <c r="J220" s="28">
        <v>76000</v>
      </c>
      <c r="K220" s="28">
        <v>3800</v>
      </c>
      <c r="L220" s="28">
        <v>190</v>
      </c>
      <c r="M220" s="28">
        <v>0.05</v>
      </c>
      <c r="N220" s="28">
        <v>28500</v>
      </c>
      <c r="O220" s="28">
        <v>0.05</v>
      </c>
      <c r="P220" s="28">
        <v>0.63</v>
      </c>
      <c r="Q220" s="28">
        <v>10.88</v>
      </c>
      <c r="R220" s="26"/>
      <c r="S220" s="26"/>
      <c r="T220" s="26"/>
      <c r="U220" s="26"/>
    </row>
    <row r="221" spans="1:21" x14ac:dyDescent="0.3">
      <c r="A221" s="26"/>
      <c r="B221" s="29">
        <v>45544</v>
      </c>
      <c r="C221" s="28" t="s">
        <v>11</v>
      </c>
      <c r="D221" s="28" t="s">
        <v>79</v>
      </c>
      <c r="E221" s="28" t="s">
        <v>47</v>
      </c>
      <c r="F221" s="28" t="s">
        <v>41</v>
      </c>
      <c r="G221" s="28" t="s">
        <v>30</v>
      </c>
      <c r="H221" s="28" t="s">
        <v>87</v>
      </c>
      <c r="I221" s="28">
        <v>5300</v>
      </c>
      <c r="J221" s="28">
        <v>57000</v>
      </c>
      <c r="K221" s="28">
        <v>1710</v>
      </c>
      <c r="L221" s="28">
        <v>86</v>
      </c>
      <c r="M221" s="28">
        <v>0.05</v>
      </c>
      <c r="N221" s="28">
        <v>21375</v>
      </c>
      <c r="O221" s="28">
        <v>0.03</v>
      </c>
      <c r="P221" s="28">
        <v>3.1</v>
      </c>
      <c r="Q221" s="28">
        <v>3.03</v>
      </c>
      <c r="R221" s="26"/>
      <c r="S221" s="26"/>
      <c r="T221" s="26"/>
      <c r="U221" s="26"/>
    </row>
    <row r="222" spans="1:21" x14ac:dyDescent="0.3">
      <c r="A222" s="26"/>
      <c r="B222" s="29">
        <v>45551</v>
      </c>
      <c r="C222" s="28" t="s">
        <v>11</v>
      </c>
      <c r="D222" s="28" t="s">
        <v>84</v>
      </c>
      <c r="E222" s="28" t="s">
        <v>48</v>
      </c>
      <c r="F222" s="28" t="s">
        <v>45</v>
      </c>
      <c r="G222" s="28" t="s">
        <v>31</v>
      </c>
      <c r="H222" s="28" t="s">
        <v>87</v>
      </c>
      <c r="I222" s="28">
        <v>2150</v>
      </c>
      <c r="J222" s="28">
        <v>72000</v>
      </c>
      <c r="K222" s="28">
        <v>3600</v>
      </c>
      <c r="L222" s="28">
        <v>180</v>
      </c>
      <c r="M222" s="28">
        <v>0.05</v>
      </c>
      <c r="N222" s="28">
        <v>27000</v>
      </c>
      <c r="O222" s="28">
        <v>0.05</v>
      </c>
      <c r="P222" s="28">
        <v>0.6</v>
      </c>
      <c r="Q222" s="28">
        <v>11.56</v>
      </c>
      <c r="R222" s="26"/>
      <c r="S222" s="26"/>
      <c r="T222" s="26"/>
      <c r="U222" s="26"/>
    </row>
    <row r="223" spans="1:21" x14ac:dyDescent="0.3">
      <c r="A223" s="26"/>
      <c r="B223" s="29">
        <v>45558</v>
      </c>
      <c r="C223" s="28" t="s">
        <v>12</v>
      </c>
      <c r="D223" s="28" t="s">
        <v>72</v>
      </c>
      <c r="E223" s="28" t="s">
        <v>47</v>
      </c>
      <c r="F223" s="28" t="s">
        <v>41</v>
      </c>
      <c r="G223" s="28" t="s">
        <v>33</v>
      </c>
      <c r="H223" s="28" t="s">
        <v>88</v>
      </c>
      <c r="I223" s="28">
        <v>3100</v>
      </c>
      <c r="J223" s="28">
        <v>95000</v>
      </c>
      <c r="K223" s="28">
        <v>3800</v>
      </c>
      <c r="L223" s="28">
        <v>190</v>
      </c>
      <c r="M223" s="28">
        <v>0.05</v>
      </c>
      <c r="N223" s="28">
        <v>28500</v>
      </c>
      <c r="O223" s="28">
        <v>0.04</v>
      </c>
      <c r="P223" s="28">
        <v>0.82</v>
      </c>
      <c r="Q223" s="28">
        <v>8.19</v>
      </c>
      <c r="R223" s="26"/>
      <c r="S223" s="26"/>
      <c r="T223" s="26"/>
      <c r="U223" s="26"/>
    </row>
    <row r="224" spans="1:21" x14ac:dyDescent="0.3">
      <c r="A224" s="26"/>
      <c r="B224" s="29">
        <v>45565</v>
      </c>
      <c r="C224" s="28" t="s">
        <v>11</v>
      </c>
      <c r="D224" s="28" t="s">
        <v>73</v>
      </c>
      <c r="E224" s="28" t="s">
        <v>47</v>
      </c>
      <c r="F224" s="28" t="s">
        <v>41</v>
      </c>
      <c r="G224" s="28" t="s">
        <v>32</v>
      </c>
      <c r="H224" s="28" t="s">
        <v>88</v>
      </c>
      <c r="I224" s="28">
        <v>4000</v>
      </c>
      <c r="J224" s="28">
        <v>125000</v>
      </c>
      <c r="K224" s="28">
        <v>5000</v>
      </c>
      <c r="L224" s="28">
        <v>250</v>
      </c>
      <c r="M224" s="28">
        <v>0.05</v>
      </c>
      <c r="N224" s="28">
        <v>37500</v>
      </c>
      <c r="O224" s="28">
        <v>0.04</v>
      </c>
      <c r="P224" s="28">
        <v>0.8</v>
      </c>
      <c r="Q224" s="28">
        <v>8.3800000000000008</v>
      </c>
      <c r="R224" s="26"/>
      <c r="S224" s="26"/>
      <c r="T224" s="26"/>
      <c r="U224" s="26"/>
    </row>
    <row r="225" spans="1:21" x14ac:dyDescent="0.3">
      <c r="A225" s="26"/>
      <c r="B225" s="29">
        <v>45572</v>
      </c>
      <c r="C225" s="28" t="s">
        <v>13</v>
      </c>
      <c r="D225" s="28" t="s">
        <v>75</v>
      </c>
      <c r="E225" s="28" t="s">
        <v>47</v>
      </c>
      <c r="F225" s="28" t="s">
        <v>43</v>
      </c>
      <c r="G225" s="28" t="s">
        <v>30</v>
      </c>
      <c r="H225" s="28" t="s">
        <v>88</v>
      </c>
      <c r="I225" s="28">
        <v>5700</v>
      </c>
      <c r="J225" s="28">
        <v>60000</v>
      </c>
      <c r="K225" s="28">
        <v>1800</v>
      </c>
      <c r="L225" s="28">
        <v>90</v>
      </c>
      <c r="M225" s="28">
        <v>0.05</v>
      </c>
      <c r="N225" s="28">
        <v>22500</v>
      </c>
      <c r="O225" s="28">
        <v>0.03</v>
      </c>
      <c r="P225" s="28">
        <v>3.17</v>
      </c>
      <c r="Q225" s="28">
        <v>2.95</v>
      </c>
      <c r="R225" s="26"/>
      <c r="S225" s="26"/>
      <c r="T225" s="26"/>
      <c r="U225" s="26"/>
    </row>
    <row r="226" spans="1:21" x14ac:dyDescent="0.3">
      <c r="A226" s="26"/>
      <c r="B226" s="29">
        <v>45579</v>
      </c>
      <c r="C226" s="28" t="s">
        <v>13</v>
      </c>
      <c r="D226" s="28" t="s">
        <v>67</v>
      </c>
      <c r="E226" s="28" t="s">
        <v>48</v>
      </c>
      <c r="F226" s="28" t="s">
        <v>36</v>
      </c>
      <c r="G226" s="28" t="s">
        <v>31</v>
      </c>
      <c r="H226" s="28" t="s">
        <v>88</v>
      </c>
      <c r="I226" s="28">
        <v>2300</v>
      </c>
      <c r="J226" s="28">
        <v>75000</v>
      </c>
      <c r="K226" s="28">
        <v>3750</v>
      </c>
      <c r="L226" s="28">
        <v>188</v>
      </c>
      <c r="M226" s="28">
        <v>0.05</v>
      </c>
      <c r="N226" s="28">
        <v>28125</v>
      </c>
      <c r="O226" s="28">
        <v>0.05</v>
      </c>
      <c r="P226" s="28">
        <v>0.61</v>
      </c>
      <c r="Q226" s="28">
        <v>11.23</v>
      </c>
      <c r="R226" s="26"/>
      <c r="S226" s="26"/>
      <c r="T226" s="26"/>
      <c r="U226" s="26"/>
    </row>
    <row r="227" spans="1:21" x14ac:dyDescent="0.3">
      <c r="A227" s="26"/>
      <c r="B227" s="29">
        <v>45586</v>
      </c>
      <c r="C227" s="28" t="s">
        <v>11</v>
      </c>
      <c r="D227" s="28" t="s">
        <v>83</v>
      </c>
      <c r="E227" s="28" t="s">
        <v>49</v>
      </c>
      <c r="F227" s="28" t="s">
        <v>45</v>
      </c>
      <c r="G227" s="28" t="s">
        <v>33</v>
      </c>
      <c r="H227" s="28" t="s">
        <v>88</v>
      </c>
      <c r="I227" s="28">
        <v>3500</v>
      </c>
      <c r="J227" s="28">
        <v>104000</v>
      </c>
      <c r="K227" s="28">
        <v>4160</v>
      </c>
      <c r="L227" s="28">
        <v>208</v>
      </c>
      <c r="M227" s="28">
        <v>0.05</v>
      </c>
      <c r="N227" s="28">
        <v>31200</v>
      </c>
      <c r="O227" s="28">
        <v>0.04</v>
      </c>
      <c r="P227" s="28">
        <v>0.84</v>
      </c>
      <c r="Q227" s="28">
        <v>7.91</v>
      </c>
      <c r="R227" s="26"/>
      <c r="S227" s="26"/>
      <c r="T227" s="26"/>
      <c r="U227" s="26"/>
    </row>
    <row r="228" spans="1:21" x14ac:dyDescent="0.3">
      <c r="A228" s="26"/>
      <c r="B228" s="29">
        <v>45593</v>
      </c>
      <c r="C228" s="28" t="s">
        <v>10</v>
      </c>
      <c r="D228" s="28" t="s">
        <v>84</v>
      </c>
      <c r="E228" s="28" t="s">
        <v>48</v>
      </c>
      <c r="F228" s="28" t="s">
        <v>40</v>
      </c>
      <c r="G228" s="28" t="s">
        <v>32</v>
      </c>
      <c r="H228" s="28" t="s">
        <v>88</v>
      </c>
      <c r="I228" s="28">
        <v>2900</v>
      </c>
      <c r="J228" s="28">
        <v>94000</v>
      </c>
      <c r="K228" s="28">
        <v>3760</v>
      </c>
      <c r="L228" s="28">
        <v>188</v>
      </c>
      <c r="M228" s="28">
        <v>0.05</v>
      </c>
      <c r="N228" s="28">
        <v>28200</v>
      </c>
      <c r="O228" s="28">
        <v>0.04</v>
      </c>
      <c r="P228" s="28">
        <v>0.77</v>
      </c>
      <c r="Q228" s="28">
        <v>8.7200000000000006</v>
      </c>
      <c r="R228" s="26"/>
      <c r="S228" s="26"/>
      <c r="T228" s="26"/>
      <c r="U228" s="26"/>
    </row>
    <row r="229" spans="1:21" x14ac:dyDescent="0.3">
      <c r="A229" s="26"/>
      <c r="B229" s="29">
        <v>45600</v>
      </c>
      <c r="C229" s="28" t="s">
        <v>13</v>
      </c>
      <c r="D229" s="28" t="s">
        <v>83</v>
      </c>
      <c r="E229" s="28" t="s">
        <v>49</v>
      </c>
      <c r="F229" s="28" t="s">
        <v>36</v>
      </c>
      <c r="G229" s="28" t="s">
        <v>31</v>
      </c>
      <c r="H229" s="28" t="s">
        <v>88</v>
      </c>
      <c r="I229" s="28">
        <v>2050</v>
      </c>
      <c r="J229" s="28">
        <v>71000</v>
      </c>
      <c r="K229" s="28">
        <v>3550</v>
      </c>
      <c r="L229" s="28">
        <v>178</v>
      </c>
      <c r="M229" s="28">
        <v>0.05</v>
      </c>
      <c r="N229" s="28">
        <v>26625</v>
      </c>
      <c r="O229" s="28">
        <v>0.05</v>
      </c>
      <c r="P229" s="28">
        <v>0.57999999999999996</v>
      </c>
      <c r="Q229" s="28">
        <v>11.99</v>
      </c>
      <c r="R229" s="26"/>
      <c r="S229" s="26"/>
      <c r="T229" s="26"/>
      <c r="U229" s="26"/>
    </row>
    <row r="230" spans="1:21" x14ac:dyDescent="0.3">
      <c r="A230" s="26"/>
      <c r="B230" s="29">
        <v>45607</v>
      </c>
      <c r="C230" s="28" t="s">
        <v>13</v>
      </c>
      <c r="D230" s="28" t="s">
        <v>82</v>
      </c>
      <c r="E230" s="28" t="s">
        <v>47</v>
      </c>
      <c r="F230" s="28" t="s">
        <v>42</v>
      </c>
      <c r="G230" s="28" t="s">
        <v>30</v>
      </c>
      <c r="H230" s="28" t="s">
        <v>88</v>
      </c>
      <c r="I230" s="28">
        <v>5400</v>
      </c>
      <c r="J230" s="28">
        <v>58000</v>
      </c>
      <c r="K230" s="28">
        <v>1740</v>
      </c>
      <c r="L230" s="28">
        <v>87</v>
      </c>
      <c r="M230" s="28">
        <v>0.05</v>
      </c>
      <c r="N230" s="28">
        <v>21750</v>
      </c>
      <c r="O230" s="28">
        <v>0.03</v>
      </c>
      <c r="P230" s="28">
        <v>3.1</v>
      </c>
      <c r="Q230" s="28">
        <v>3.03</v>
      </c>
      <c r="R230" s="26"/>
      <c r="S230" s="26"/>
      <c r="T230" s="26"/>
      <c r="U230" s="26"/>
    </row>
    <row r="231" spans="1:21" x14ac:dyDescent="0.3">
      <c r="A231" s="26"/>
      <c r="B231" s="29">
        <v>45614</v>
      </c>
      <c r="C231" s="28" t="s">
        <v>11</v>
      </c>
      <c r="D231" s="28" t="s">
        <v>75</v>
      </c>
      <c r="E231" s="28" t="s">
        <v>47</v>
      </c>
      <c r="F231" s="28" t="s">
        <v>41</v>
      </c>
      <c r="G231" s="28" t="s">
        <v>31</v>
      </c>
      <c r="H231" s="28" t="s">
        <v>88</v>
      </c>
      <c r="I231" s="28">
        <v>2500</v>
      </c>
      <c r="J231" s="28">
        <v>78000</v>
      </c>
      <c r="K231" s="28">
        <v>3900</v>
      </c>
      <c r="L231" s="28">
        <v>195</v>
      </c>
      <c r="M231" s="28">
        <v>0.05</v>
      </c>
      <c r="N231" s="28">
        <v>29250</v>
      </c>
      <c r="O231" s="28">
        <v>0.05</v>
      </c>
      <c r="P231" s="28">
        <v>0.64</v>
      </c>
      <c r="Q231" s="28">
        <v>10.7</v>
      </c>
      <c r="R231" s="26"/>
      <c r="S231" s="26"/>
      <c r="T231" s="26"/>
      <c r="U231" s="26"/>
    </row>
    <row r="232" spans="1:21" x14ac:dyDescent="0.3">
      <c r="A232" s="26"/>
      <c r="B232" s="29">
        <v>45621</v>
      </c>
      <c r="C232" s="28" t="s">
        <v>10</v>
      </c>
      <c r="D232" s="28" t="s">
        <v>80</v>
      </c>
      <c r="E232" s="28" t="s">
        <v>48</v>
      </c>
      <c r="F232" s="28" t="s">
        <v>40</v>
      </c>
      <c r="G232" s="28" t="s">
        <v>33</v>
      </c>
      <c r="H232" s="28" t="s">
        <v>88</v>
      </c>
      <c r="I232" s="28">
        <v>3650</v>
      </c>
      <c r="J232" s="28">
        <v>108000</v>
      </c>
      <c r="K232" s="28">
        <v>4320</v>
      </c>
      <c r="L232" s="28">
        <v>216</v>
      </c>
      <c r="M232" s="28">
        <v>0.05</v>
      </c>
      <c r="N232" s="28">
        <v>32400</v>
      </c>
      <c r="O232" s="28">
        <v>0.04</v>
      </c>
      <c r="P232" s="28">
        <v>0.84</v>
      </c>
      <c r="Q232" s="28">
        <v>7.88</v>
      </c>
      <c r="R232" s="26"/>
      <c r="S232" s="26"/>
      <c r="T232" s="26"/>
      <c r="U232" s="26"/>
    </row>
    <row r="233" spans="1:21" x14ac:dyDescent="0.3">
      <c r="A233" s="26"/>
      <c r="B233" s="29">
        <v>45628</v>
      </c>
      <c r="C233" s="28" t="s">
        <v>10</v>
      </c>
      <c r="D233" s="28" t="s">
        <v>69</v>
      </c>
      <c r="E233" s="28" t="s">
        <v>47</v>
      </c>
      <c r="F233" s="28" t="s">
        <v>41</v>
      </c>
      <c r="G233" s="28" t="s">
        <v>32</v>
      </c>
      <c r="H233" s="28" t="s">
        <v>88</v>
      </c>
      <c r="I233" s="28">
        <v>3200</v>
      </c>
      <c r="J233" s="28">
        <v>100000</v>
      </c>
      <c r="K233" s="28">
        <v>4000</v>
      </c>
      <c r="L233" s="28">
        <v>200</v>
      </c>
      <c r="M233" s="28">
        <v>0.05</v>
      </c>
      <c r="N233" s="28">
        <v>30000</v>
      </c>
      <c r="O233" s="28">
        <v>0.04</v>
      </c>
      <c r="P233" s="28">
        <v>0.8</v>
      </c>
      <c r="Q233" s="28">
        <v>8.3800000000000008</v>
      </c>
      <c r="R233" s="26"/>
      <c r="S233" s="26"/>
      <c r="T233" s="26"/>
      <c r="U233" s="26"/>
    </row>
    <row r="234" spans="1:21" x14ac:dyDescent="0.3">
      <c r="A234" s="26"/>
      <c r="B234" s="29">
        <v>45635</v>
      </c>
      <c r="C234" s="28" t="s">
        <v>11</v>
      </c>
      <c r="D234" s="28" t="s">
        <v>82</v>
      </c>
      <c r="E234" s="28" t="s">
        <v>47</v>
      </c>
      <c r="F234" s="28" t="s">
        <v>44</v>
      </c>
      <c r="G234" s="28" t="s">
        <v>31</v>
      </c>
      <c r="H234" s="28" t="s">
        <v>88</v>
      </c>
      <c r="I234" s="28">
        <v>2200</v>
      </c>
      <c r="J234" s="28">
        <v>73000</v>
      </c>
      <c r="K234" s="28">
        <v>3650</v>
      </c>
      <c r="L234" s="28">
        <v>182</v>
      </c>
      <c r="M234" s="28">
        <v>0.05</v>
      </c>
      <c r="N234" s="28">
        <v>27375</v>
      </c>
      <c r="O234" s="28">
        <v>0.05</v>
      </c>
      <c r="P234" s="28">
        <v>0.6</v>
      </c>
      <c r="Q234" s="28">
        <v>11.44</v>
      </c>
      <c r="R234" s="26"/>
      <c r="S234" s="26"/>
      <c r="T234" s="26"/>
      <c r="U234" s="26"/>
    </row>
    <row r="235" spans="1:21" x14ac:dyDescent="0.3">
      <c r="A235" s="26"/>
      <c r="B235" s="29">
        <v>45642</v>
      </c>
      <c r="C235" s="28" t="s">
        <v>13</v>
      </c>
      <c r="D235" s="28" t="s">
        <v>77</v>
      </c>
      <c r="E235" s="28" t="s">
        <v>49</v>
      </c>
      <c r="F235" s="28" t="s">
        <v>45</v>
      </c>
      <c r="G235" s="28" t="s">
        <v>30</v>
      </c>
      <c r="H235" s="28" t="s">
        <v>88</v>
      </c>
      <c r="I235" s="28">
        <v>5900</v>
      </c>
      <c r="J235" s="28">
        <v>62000</v>
      </c>
      <c r="K235" s="28">
        <v>1860</v>
      </c>
      <c r="L235" s="28">
        <v>93</v>
      </c>
      <c r="M235" s="28">
        <v>0.05</v>
      </c>
      <c r="N235" s="28">
        <v>23250</v>
      </c>
      <c r="O235" s="28">
        <v>0.03</v>
      </c>
      <c r="P235" s="28">
        <v>3.17</v>
      </c>
      <c r="Q235" s="28">
        <v>2.94</v>
      </c>
      <c r="R235" s="26"/>
      <c r="S235" s="26"/>
      <c r="T235" s="26"/>
      <c r="U235" s="26"/>
    </row>
    <row r="236" spans="1:21" x14ac:dyDescent="0.3">
      <c r="A236" s="26"/>
      <c r="B236" s="29">
        <v>45649</v>
      </c>
      <c r="C236" s="28" t="s">
        <v>12</v>
      </c>
      <c r="D236" s="28" t="s">
        <v>74</v>
      </c>
      <c r="E236" s="28" t="s">
        <v>49</v>
      </c>
      <c r="F236" s="28" t="s">
        <v>41</v>
      </c>
      <c r="G236" s="28" t="s">
        <v>33</v>
      </c>
      <c r="H236" s="28" t="s">
        <v>88</v>
      </c>
      <c r="I236" s="28">
        <v>3350</v>
      </c>
      <c r="J236" s="28">
        <v>101000</v>
      </c>
      <c r="K236" s="28">
        <v>4040</v>
      </c>
      <c r="L236" s="28">
        <v>202</v>
      </c>
      <c r="M236" s="28">
        <v>0.05</v>
      </c>
      <c r="N236" s="28">
        <v>30300</v>
      </c>
      <c r="O236" s="28">
        <v>0.04</v>
      </c>
      <c r="P236" s="28">
        <v>0.83</v>
      </c>
      <c r="Q236" s="28">
        <v>8.0399999999999991</v>
      </c>
      <c r="R236" s="26"/>
      <c r="S236" s="26"/>
      <c r="T236" s="26"/>
      <c r="U236" s="26"/>
    </row>
    <row r="237" spans="1:21" x14ac:dyDescent="0.3">
      <c r="A237" s="26"/>
      <c r="B237" s="29">
        <v>45656</v>
      </c>
      <c r="C237" s="28" t="s">
        <v>11</v>
      </c>
      <c r="D237" s="28" t="s">
        <v>74</v>
      </c>
      <c r="E237" s="28" t="s">
        <v>49</v>
      </c>
      <c r="F237" s="28" t="s">
        <v>34</v>
      </c>
      <c r="G237" s="28" t="s">
        <v>30</v>
      </c>
      <c r="H237" s="28" t="s">
        <v>88</v>
      </c>
      <c r="I237" s="28">
        <v>5100</v>
      </c>
      <c r="J237" s="28">
        <v>55000</v>
      </c>
      <c r="K237" s="28">
        <v>1650</v>
      </c>
      <c r="L237" s="28">
        <v>82</v>
      </c>
      <c r="M237" s="28">
        <v>0.05</v>
      </c>
      <c r="N237" s="28">
        <v>20625</v>
      </c>
      <c r="O237" s="28">
        <v>0.03</v>
      </c>
      <c r="P237" s="28">
        <v>3.09</v>
      </c>
      <c r="Q237" s="28">
        <v>3.04</v>
      </c>
      <c r="R237" s="26"/>
      <c r="S237" s="26"/>
      <c r="T237" s="26"/>
      <c r="U237" s="26"/>
    </row>
    <row r="238" spans="1:21" x14ac:dyDescent="0.3">
      <c r="A238" s="26"/>
      <c r="B238" s="29">
        <v>45530</v>
      </c>
      <c r="C238" s="28" t="s">
        <v>12</v>
      </c>
      <c r="D238" s="28" t="s">
        <v>71</v>
      </c>
      <c r="E238" s="28" t="s">
        <v>48</v>
      </c>
      <c r="F238" s="28" t="s">
        <v>45</v>
      </c>
      <c r="G238" s="28" t="s">
        <v>33</v>
      </c>
      <c r="H238" s="28" t="s">
        <v>85</v>
      </c>
      <c r="I238" s="28">
        <v>2650</v>
      </c>
      <c r="J238" s="28">
        <v>82000</v>
      </c>
      <c r="K238" s="28">
        <v>3280</v>
      </c>
      <c r="L238" s="28">
        <v>164</v>
      </c>
      <c r="M238" s="28">
        <v>0.05</v>
      </c>
      <c r="N238" s="28">
        <v>24600</v>
      </c>
      <c r="O238" s="28">
        <v>0.04</v>
      </c>
      <c r="P238" s="28">
        <v>0.81</v>
      </c>
      <c r="Q238" s="28">
        <v>8.2799999999999994</v>
      </c>
      <c r="R238" s="26"/>
      <c r="S238" s="26"/>
      <c r="T238" s="26"/>
      <c r="U238" s="26"/>
    </row>
    <row r="239" spans="1:21" x14ac:dyDescent="0.3">
      <c r="A239" s="26"/>
      <c r="B239" s="29">
        <v>45537</v>
      </c>
      <c r="C239" s="28" t="s">
        <v>13</v>
      </c>
      <c r="D239" s="28" t="s">
        <v>73</v>
      </c>
      <c r="E239" s="28" t="s">
        <v>47</v>
      </c>
      <c r="F239" s="28" t="s">
        <v>40</v>
      </c>
      <c r="G239" s="28" t="s">
        <v>31</v>
      </c>
      <c r="H239" s="28" t="s">
        <v>85</v>
      </c>
      <c r="I239" s="28">
        <v>1950</v>
      </c>
      <c r="J239" s="28">
        <v>67000</v>
      </c>
      <c r="K239" s="28">
        <v>3350</v>
      </c>
      <c r="L239" s="28">
        <v>168</v>
      </c>
      <c r="M239" s="28">
        <v>0.05</v>
      </c>
      <c r="N239" s="28">
        <v>25125</v>
      </c>
      <c r="O239" s="28">
        <v>0.05</v>
      </c>
      <c r="P239" s="28">
        <v>0.57999999999999996</v>
      </c>
      <c r="Q239" s="28">
        <v>11.88</v>
      </c>
      <c r="R239" s="26"/>
      <c r="S239" s="26"/>
      <c r="T239" s="26"/>
      <c r="U239" s="26"/>
    </row>
    <row r="240" spans="1:21" x14ac:dyDescent="0.3">
      <c r="A240" s="26"/>
      <c r="B240" s="29">
        <v>45544</v>
      </c>
      <c r="C240" s="28" t="s">
        <v>11</v>
      </c>
      <c r="D240" s="28" t="s">
        <v>80</v>
      </c>
      <c r="E240" s="28" t="s">
        <v>48</v>
      </c>
      <c r="F240" s="28" t="s">
        <v>42</v>
      </c>
      <c r="G240" s="28" t="s">
        <v>32</v>
      </c>
      <c r="H240" s="28" t="s">
        <v>85</v>
      </c>
      <c r="I240" s="28">
        <v>3550</v>
      </c>
      <c r="J240" s="28">
        <v>112000</v>
      </c>
      <c r="K240" s="28">
        <v>4480</v>
      </c>
      <c r="L240" s="28">
        <v>224</v>
      </c>
      <c r="M240" s="28">
        <v>0.05</v>
      </c>
      <c r="N240" s="28">
        <v>33600</v>
      </c>
      <c r="O240" s="28">
        <v>0.04</v>
      </c>
      <c r="P240" s="28">
        <v>0.79</v>
      </c>
      <c r="Q240" s="28">
        <v>8.4600000000000009</v>
      </c>
      <c r="R240" s="26"/>
      <c r="S240" s="26"/>
      <c r="T240" s="26"/>
      <c r="U240" s="26"/>
    </row>
    <row r="241" spans="1:21" x14ac:dyDescent="0.3">
      <c r="A241" s="26"/>
      <c r="B241" s="29">
        <v>45551</v>
      </c>
      <c r="C241" s="28" t="s">
        <v>11</v>
      </c>
      <c r="D241" s="28" t="s">
        <v>70</v>
      </c>
      <c r="E241" s="28" t="s">
        <v>49</v>
      </c>
      <c r="F241" s="28" t="s">
        <v>43</v>
      </c>
      <c r="G241" s="28" t="s">
        <v>30</v>
      </c>
      <c r="H241" s="28" t="s">
        <v>85</v>
      </c>
      <c r="I241" s="28">
        <v>4900</v>
      </c>
      <c r="J241" s="28">
        <v>53000</v>
      </c>
      <c r="K241" s="28">
        <v>1590</v>
      </c>
      <c r="L241" s="28">
        <v>80</v>
      </c>
      <c r="M241" s="28">
        <v>0.05</v>
      </c>
      <c r="N241" s="28">
        <v>19875</v>
      </c>
      <c r="O241" s="28">
        <v>0.03</v>
      </c>
      <c r="P241" s="28">
        <v>3.08</v>
      </c>
      <c r="Q241" s="28">
        <v>3.06</v>
      </c>
      <c r="R241" s="26"/>
      <c r="S241" s="26"/>
      <c r="T241" s="26"/>
      <c r="U241" s="26"/>
    </row>
    <row r="242" spans="1:21" x14ac:dyDescent="0.3">
      <c r="A242" s="26"/>
      <c r="B242" s="29">
        <v>45558</v>
      </c>
      <c r="C242" s="28" t="s">
        <v>11</v>
      </c>
      <c r="D242" s="28" t="s">
        <v>79</v>
      </c>
      <c r="E242" s="28" t="s">
        <v>47</v>
      </c>
      <c r="F242" s="28" t="s">
        <v>45</v>
      </c>
      <c r="G242" s="28" t="s">
        <v>31</v>
      </c>
      <c r="H242" s="28" t="s">
        <v>85</v>
      </c>
      <c r="I242" s="28">
        <v>1700</v>
      </c>
      <c r="J242" s="28">
        <v>62000</v>
      </c>
      <c r="K242" s="28">
        <v>3100</v>
      </c>
      <c r="L242" s="28">
        <v>155</v>
      </c>
      <c r="M242" s="28">
        <v>0.05</v>
      </c>
      <c r="N242" s="28">
        <v>23250</v>
      </c>
      <c r="O242" s="28">
        <v>0.05</v>
      </c>
      <c r="P242" s="28">
        <v>0.55000000000000004</v>
      </c>
      <c r="Q242" s="28">
        <v>12.68</v>
      </c>
      <c r="R242" s="26"/>
      <c r="S242" s="26"/>
      <c r="T242" s="26"/>
      <c r="U242" s="26"/>
    </row>
    <row r="243" spans="1:21" x14ac:dyDescent="0.3">
      <c r="A243" s="26"/>
      <c r="B243" s="29">
        <v>45565</v>
      </c>
      <c r="C243" s="28" t="s">
        <v>12</v>
      </c>
      <c r="D243" s="28" t="s">
        <v>73</v>
      </c>
      <c r="E243" s="28" t="s">
        <v>47</v>
      </c>
      <c r="F243" s="28" t="s">
        <v>44</v>
      </c>
      <c r="G243" s="28" t="s">
        <v>33</v>
      </c>
      <c r="H243" s="28" t="s">
        <v>85</v>
      </c>
      <c r="I243" s="28">
        <v>2900</v>
      </c>
      <c r="J243" s="28">
        <v>88000</v>
      </c>
      <c r="K243" s="28">
        <v>3520</v>
      </c>
      <c r="L243" s="28">
        <v>176</v>
      </c>
      <c r="M243" s="28">
        <v>0.05</v>
      </c>
      <c r="N243" s="28">
        <v>26400</v>
      </c>
      <c r="O243" s="28">
        <v>0.04</v>
      </c>
      <c r="P243" s="28">
        <v>0.82</v>
      </c>
      <c r="Q243" s="28">
        <v>8.1</v>
      </c>
      <c r="R243" s="26"/>
      <c r="S243" s="26"/>
      <c r="T243" s="26"/>
      <c r="U243" s="26"/>
    </row>
    <row r="244" spans="1:21" x14ac:dyDescent="0.3">
      <c r="A244" s="26"/>
      <c r="B244" s="29">
        <v>45572</v>
      </c>
      <c r="C244" s="28" t="s">
        <v>11</v>
      </c>
      <c r="D244" s="28" t="s">
        <v>67</v>
      </c>
      <c r="E244" s="28" t="s">
        <v>48</v>
      </c>
      <c r="F244" s="28" t="s">
        <v>39</v>
      </c>
      <c r="G244" s="28" t="s">
        <v>31</v>
      </c>
      <c r="H244" s="28" t="s">
        <v>85</v>
      </c>
      <c r="I244" s="28">
        <v>2150</v>
      </c>
      <c r="J244" s="28">
        <v>72000</v>
      </c>
      <c r="K244" s="28">
        <v>3600</v>
      </c>
      <c r="L244" s="28">
        <v>180</v>
      </c>
      <c r="M244" s="28">
        <v>0.05</v>
      </c>
      <c r="N244" s="28">
        <v>27000</v>
      </c>
      <c r="O244" s="28">
        <v>0.05</v>
      </c>
      <c r="P244" s="28">
        <v>0.6</v>
      </c>
      <c r="Q244" s="28">
        <v>11.56</v>
      </c>
      <c r="R244" s="26"/>
      <c r="S244" s="26"/>
      <c r="T244" s="26"/>
      <c r="U244" s="26"/>
    </row>
    <row r="245" spans="1:21" x14ac:dyDescent="0.3">
      <c r="A245" s="26"/>
      <c r="B245" s="29">
        <v>45579</v>
      </c>
      <c r="C245" s="28" t="s">
        <v>11</v>
      </c>
      <c r="D245" s="28" t="s">
        <v>81</v>
      </c>
      <c r="E245" s="28" t="s">
        <v>48</v>
      </c>
      <c r="F245" s="28" t="s">
        <v>40</v>
      </c>
      <c r="G245" s="28" t="s">
        <v>32</v>
      </c>
      <c r="H245" s="28" t="s">
        <v>85</v>
      </c>
      <c r="I245" s="28">
        <v>3850</v>
      </c>
      <c r="J245" s="28">
        <v>119000</v>
      </c>
      <c r="K245" s="28">
        <v>4760</v>
      </c>
      <c r="L245" s="28">
        <v>238</v>
      </c>
      <c r="M245" s="28">
        <v>0.05</v>
      </c>
      <c r="N245" s="28">
        <v>35700</v>
      </c>
      <c r="O245" s="28">
        <v>0.04</v>
      </c>
      <c r="P245" s="28">
        <v>0.81</v>
      </c>
      <c r="Q245" s="28">
        <v>8.27</v>
      </c>
      <c r="R245" s="26"/>
      <c r="S245" s="26"/>
      <c r="T245" s="26"/>
      <c r="U245" s="26"/>
    </row>
    <row r="246" spans="1:21" x14ac:dyDescent="0.3">
      <c r="A246" s="26"/>
      <c r="B246" s="29">
        <v>45586</v>
      </c>
      <c r="C246" s="28" t="s">
        <v>11</v>
      </c>
      <c r="D246" s="28" t="s">
        <v>71</v>
      </c>
      <c r="E246" s="28" t="s">
        <v>48</v>
      </c>
      <c r="F246" s="28" t="s">
        <v>38</v>
      </c>
      <c r="G246" s="28" t="s">
        <v>30</v>
      </c>
      <c r="H246" s="28" t="s">
        <v>85</v>
      </c>
      <c r="I246" s="28">
        <v>5600</v>
      </c>
      <c r="J246" s="28">
        <v>59000</v>
      </c>
      <c r="K246" s="28">
        <v>1770</v>
      </c>
      <c r="L246" s="28">
        <v>88</v>
      </c>
      <c r="M246" s="28">
        <v>0.05</v>
      </c>
      <c r="N246" s="28">
        <v>22125</v>
      </c>
      <c r="O246" s="28">
        <v>0.03</v>
      </c>
      <c r="P246" s="28">
        <v>3.16</v>
      </c>
      <c r="Q246" s="28">
        <v>2.95</v>
      </c>
      <c r="R246" s="26"/>
      <c r="S246" s="26"/>
      <c r="T246" s="26"/>
      <c r="U246" s="26"/>
    </row>
    <row r="247" spans="1:21" x14ac:dyDescent="0.3">
      <c r="A247" s="26"/>
      <c r="B247" s="29">
        <v>45593</v>
      </c>
      <c r="C247" s="28" t="s">
        <v>12</v>
      </c>
      <c r="D247" s="28" t="s">
        <v>73</v>
      </c>
      <c r="E247" s="28" t="s">
        <v>47</v>
      </c>
      <c r="F247" s="28" t="s">
        <v>45</v>
      </c>
      <c r="G247" s="28" t="s">
        <v>31</v>
      </c>
      <c r="H247" s="28" t="s">
        <v>85</v>
      </c>
      <c r="I247" s="28">
        <v>2050</v>
      </c>
      <c r="J247" s="28">
        <v>70000</v>
      </c>
      <c r="K247" s="28">
        <v>3500</v>
      </c>
      <c r="L247" s="28">
        <v>175</v>
      </c>
      <c r="M247" s="28">
        <v>0.05</v>
      </c>
      <c r="N247" s="28">
        <v>26250</v>
      </c>
      <c r="O247" s="28">
        <v>0.05</v>
      </c>
      <c r="P247" s="28">
        <v>0.59</v>
      </c>
      <c r="Q247" s="28">
        <v>11.8</v>
      </c>
      <c r="R247" s="26"/>
      <c r="S247" s="26"/>
      <c r="T247" s="26"/>
      <c r="U247" s="26"/>
    </row>
    <row r="248" spans="1:21" x14ac:dyDescent="0.3">
      <c r="A248" s="26"/>
      <c r="B248" s="29">
        <v>45600</v>
      </c>
      <c r="C248" s="28" t="s">
        <v>13</v>
      </c>
      <c r="D248" s="28" t="s">
        <v>83</v>
      </c>
      <c r="E248" s="28" t="s">
        <v>49</v>
      </c>
      <c r="F248" s="28" t="s">
        <v>41</v>
      </c>
      <c r="G248" s="28" t="s">
        <v>33</v>
      </c>
      <c r="H248" s="28" t="s">
        <v>85</v>
      </c>
      <c r="I248" s="28">
        <v>3200</v>
      </c>
      <c r="J248" s="28">
        <v>97000</v>
      </c>
      <c r="K248" s="28">
        <v>3880</v>
      </c>
      <c r="L248" s="28">
        <v>194</v>
      </c>
      <c r="M248" s="28">
        <v>0.05</v>
      </c>
      <c r="N248" s="28">
        <v>29100</v>
      </c>
      <c r="O248" s="28">
        <v>0.04</v>
      </c>
      <c r="P248" s="28">
        <v>0.82</v>
      </c>
      <c r="Q248" s="28">
        <v>8.09</v>
      </c>
      <c r="R248" s="26"/>
      <c r="S248" s="26"/>
      <c r="T248" s="26"/>
      <c r="U248" s="26"/>
    </row>
    <row r="249" spans="1:21" x14ac:dyDescent="0.3">
      <c r="A249" s="26"/>
      <c r="B249" s="29">
        <v>45607</v>
      </c>
      <c r="C249" s="28" t="s">
        <v>11</v>
      </c>
      <c r="D249" s="28" t="s">
        <v>65</v>
      </c>
      <c r="E249" s="28" t="s">
        <v>47</v>
      </c>
      <c r="F249" s="28" t="s">
        <v>36</v>
      </c>
      <c r="G249" s="28" t="s">
        <v>31</v>
      </c>
      <c r="H249" s="28" t="s">
        <v>85</v>
      </c>
      <c r="I249" s="28">
        <v>2300</v>
      </c>
      <c r="J249" s="28">
        <v>74000</v>
      </c>
      <c r="K249" s="28">
        <v>3700</v>
      </c>
      <c r="L249" s="28">
        <v>185</v>
      </c>
      <c r="M249" s="28">
        <v>0.05</v>
      </c>
      <c r="N249" s="28">
        <v>27750</v>
      </c>
      <c r="O249" s="28">
        <v>0.05</v>
      </c>
      <c r="P249" s="28">
        <v>0.62</v>
      </c>
      <c r="Q249" s="28">
        <v>11.07</v>
      </c>
      <c r="R249" s="26"/>
      <c r="S249" s="26"/>
      <c r="T249" s="26"/>
      <c r="U249" s="26"/>
    </row>
    <row r="250" spans="1:21" x14ac:dyDescent="0.3">
      <c r="A250" s="26"/>
      <c r="B250" s="29">
        <v>45614</v>
      </c>
      <c r="C250" s="28" t="s">
        <v>13</v>
      </c>
      <c r="D250" s="28" t="s">
        <v>67</v>
      </c>
      <c r="E250" s="28" t="s">
        <v>48</v>
      </c>
      <c r="F250" s="28" t="s">
        <v>41</v>
      </c>
      <c r="G250" s="28" t="s">
        <v>32</v>
      </c>
      <c r="H250" s="28" t="s">
        <v>86</v>
      </c>
      <c r="I250" s="28">
        <v>2750</v>
      </c>
      <c r="J250" s="28">
        <v>88000</v>
      </c>
      <c r="K250" s="28">
        <v>3520</v>
      </c>
      <c r="L250" s="28">
        <v>176</v>
      </c>
      <c r="M250" s="28">
        <v>0.05</v>
      </c>
      <c r="N250" s="28">
        <v>26400</v>
      </c>
      <c r="O250" s="28">
        <v>0.04</v>
      </c>
      <c r="P250" s="28">
        <v>0.78</v>
      </c>
      <c r="Q250" s="28">
        <v>8.6</v>
      </c>
      <c r="R250" s="26"/>
      <c r="S250" s="26"/>
      <c r="T250" s="26"/>
      <c r="U250" s="26"/>
    </row>
    <row r="251" spans="1:21" x14ac:dyDescent="0.3">
      <c r="A251" s="26"/>
      <c r="B251" s="29">
        <v>45621</v>
      </c>
      <c r="C251" s="28" t="s">
        <v>13</v>
      </c>
      <c r="D251" s="28" t="s">
        <v>79</v>
      </c>
      <c r="E251" s="28" t="s">
        <v>47</v>
      </c>
      <c r="F251" s="28" t="s">
        <v>45</v>
      </c>
      <c r="G251" s="28" t="s">
        <v>31</v>
      </c>
      <c r="H251" s="28" t="s">
        <v>86</v>
      </c>
      <c r="I251" s="28">
        <v>2250</v>
      </c>
      <c r="J251" s="28">
        <v>73000</v>
      </c>
      <c r="K251" s="28">
        <v>3650</v>
      </c>
      <c r="L251" s="28">
        <v>182</v>
      </c>
      <c r="M251" s="28">
        <v>0.05</v>
      </c>
      <c r="N251" s="28">
        <v>27375</v>
      </c>
      <c r="O251" s="28">
        <v>0.05</v>
      </c>
      <c r="P251" s="28">
        <v>0.62</v>
      </c>
      <c r="Q251" s="28">
        <v>11.17</v>
      </c>
      <c r="R251" s="26"/>
      <c r="S251" s="26"/>
      <c r="T251" s="26"/>
      <c r="U251" s="26"/>
    </row>
    <row r="252" spans="1:21" x14ac:dyDescent="0.3">
      <c r="A252" s="26"/>
      <c r="B252" s="29">
        <v>45104</v>
      </c>
      <c r="C252" s="28" t="s">
        <v>11</v>
      </c>
      <c r="D252" s="28" t="s">
        <v>77</v>
      </c>
      <c r="E252" s="28" t="s">
        <v>49</v>
      </c>
      <c r="F252" s="28" t="s">
        <v>44</v>
      </c>
      <c r="G252" s="28" t="s">
        <v>33</v>
      </c>
      <c r="H252" s="28" t="s">
        <v>87</v>
      </c>
      <c r="I252" s="28">
        <v>3100</v>
      </c>
      <c r="J252" s="28">
        <v>95000</v>
      </c>
      <c r="K252" s="28">
        <v>3800</v>
      </c>
      <c r="L252" s="28">
        <v>190</v>
      </c>
      <c r="M252" s="28">
        <v>0.05</v>
      </c>
      <c r="N252" s="28">
        <v>28500</v>
      </c>
      <c r="O252" s="28">
        <v>0.04</v>
      </c>
      <c r="P252" s="28">
        <v>0.82</v>
      </c>
      <c r="Q252" s="28">
        <v>8.19</v>
      </c>
      <c r="R252" s="26"/>
      <c r="S252" s="26"/>
      <c r="T252" s="26"/>
      <c r="U252" s="26"/>
    </row>
    <row r="253" spans="1:21" x14ac:dyDescent="0.3">
      <c r="A253" s="26"/>
      <c r="B253" s="29">
        <v>45111</v>
      </c>
      <c r="C253" s="28" t="s">
        <v>12</v>
      </c>
      <c r="D253" s="28" t="s">
        <v>78</v>
      </c>
      <c r="E253" s="28" t="s">
        <v>48</v>
      </c>
      <c r="F253" s="28" t="s">
        <v>39</v>
      </c>
      <c r="G253" s="28" t="s">
        <v>31</v>
      </c>
      <c r="H253" s="28" t="s">
        <v>87</v>
      </c>
      <c r="I253" s="28">
        <v>1900</v>
      </c>
      <c r="J253" s="28">
        <v>66000</v>
      </c>
      <c r="K253" s="28">
        <v>3300</v>
      </c>
      <c r="L253" s="28">
        <v>165</v>
      </c>
      <c r="M253" s="28">
        <v>0.05</v>
      </c>
      <c r="N253" s="28">
        <v>24750</v>
      </c>
      <c r="O253" s="28">
        <v>0.05</v>
      </c>
      <c r="P253" s="28">
        <v>0.57999999999999996</v>
      </c>
      <c r="Q253" s="28">
        <v>12.03</v>
      </c>
      <c r="R253" s="26"/>
      <c r="S253" s="26"/>
      <c r="T253" s="26"/>
      <c r="U253" s="26"/>
    </row>
    <row r="254" spans="1:21" x14ac:dyDescent="0.3">
      <c r="A254" s="26"/>
      <c r="B254" s="29">
        <v>45118</v>
      </c>
      <c r="C254" s="28" t="s">
        <v>11</v>
      </c>
      <c r="D254" s="28" t="s">
        <v>80</v>
      </c>
      <c r="E254" s="28" t="s">
        <v>48</v>
      </c>
      <c r="F254" s="28" t="s">
        <v>41</v>
      </c>
      <c r="G254" s="28" t="s">
        <v>32</v>
      </c>
      <c r="H254" s="28" t="s">
        <v>87</v>
      </c>
      <c r="I254" s="28">
        <v>3950</v>
      </c>
      <c r="J254" s="28">
        <v>121000</v>
      </c>
      <c r="K254" s="28">
        <v>4840</v>
      </c>
      <c r="L254" s="28">
        <v>242</v>
      </c>
      <c r="M254" s="28">
        <v>0.05</v>
      </c>
      <c r="N254" s="28">
        <v>36300</v>
      </c>
      <c r="O254" s="28">
        <v>0.04</v>
      </c>
      <c r="P254" s="28">
        <v>0.82</v>
      </c>
      <c r="Q254" s="28">
        <v>8.19</v>
      </c>
      <c r="R254" s="26"/>
      <c r="S254" s="26"/>
      <c r="T254" s="26"/>
      <c r="U254" s="26"/>
    </row>
    <row r="255" spans="1:21" x14ac:dyDescent="0.3">
      <c r="A255" s="26"/>
      <c r="B255" s="29">
        <v>45125</v>
      </c>
      <c r="C255" s="28" t="s">
        <v>11</v>
      </c>
      <c r="D255" s="28" t="s">
        <v>66</v>
      </c>
      <c r="E255" s="28" t="s">
        <v>48</v>
      </c>
      <c r="F255" s="28" t="s">
        <v>41</v>
      </c>
      <c r="G255" s="28" t="s">
        <v>30</v>
      </c>
      <c r="H255" s="28" t="s">
        <v>87</v>
      </c>
      <c r="I255" s="28">
        <v>5800</v>
      </c>
      <c r="J255" s="28">
        <v>61000</v>
      </c>
      <c r="K255" s="28">
        <v>1830</v>
      </c>
      <c r="L255" s="28">
        <v>92</v>
      </c>
      <c r="M255" s="28">
        <v>0.05</v>
      </c>
      <c r="N255" s="28">
        <v>22875</v>
      </c>
      <c r="O255" s="28">
        <v>0.03</v>
      </c>
      <c r="P255" s="28">
        <v>3.17</v>
      </c>
      <c r="Q255" s="28">
        <v>2.94</v>
      </c>
      <c r="R255" s="26"/>
      <c r="S255" s="26"/>
      <c r="T255" s="26"/>
      <c r="U255" s="26"/>
    </row>
    <row r="256" spans="1:21" x14ac:dyDescent="0.3">
      <c r="A256" s="26"/>
      <c r="B256" s="29">
        <v>45132</v>
      </c>
      <c r="C256" s="28" t="s">
        <v>11</v>
      </c>
      <c r="D256" s="28" t="s">
        <v>72</v>
      </c>
      <c r="E256" s="28" t="s">
        <v>47</v>
      </c>
      <c r="F256" s="28" t="s">
        <v>43</v>
      </c>
      <c r="G256" s="28" t="s">
        <v>31</v>
      </c>
      <c r="H256" s="28" t="s">
        <v>87</v>
      </c>
      <c r="I256" s="28">
        <v>2350</v>
      </c>
      <c r="J256" s="28">
        <v>75000</v>
      </c>
      <c r="K256" s="28">
        <v>3750</v>
      </c>
      <c r="L256" s="28">
        <v>188</v>
      </c>
      <c r="M256" s="28">
        <v>0.05</v>
      </c>
      <c r="N256" s="28">
        <v>28125</v>
      </c>
      <c r="O256" s="28">
        <v>0.05</v>
      </c>
      <c r="P256" s="28">
        <v>0.63</v>
      </c>
      <c r="Q256" s="28">
        <v>10.97</v>
      </c>
      <c r="R256" s="26"/>
      <c r="S256" s="26"/>
      <c r="T256" s="26"/>
      <c r="U256" s="26"/>
    </row>
    <row r="257" spans="1:21" x14ac:dyDescent="0.3">
      <c r="A257" s="26"/>
      <c r="B257" s="29">
        <v>45139</v>
      </c>
      <c r="C257" s="28" t="s">
        <v>13</v>
      </c>
      <c r="D257" s="28" t="s">
        <v>82</v>
      </c>
      <c r="E257" s="28" t="s">
        <v>47</v>
      </c>
      <c r="F257" s="28" t="s">
        <v>41</v>
      </c>
      <c r="G257" s="28" t="s">
        <v>33</v>
      </c>
      <c r="H257" s="28" t="s">
        <v>87</v>
      </c>
      <c r="I257" s="28">
        <v>3400</v>
      </c>
      <c r="J257" s="28">
        <v>102000</v>
      </c>
      <c r="K257" s="28">
        <v>4080</v>
      </c>
      <c r="L257" s="28">
        <v>204</v>
      </c>
      <c r="M257" s="28">
        <v>0.05</v>
      </c>
      <c r="N257" s="28">
        <v>30600</v>
      </c>
      <c r="O257" s="28">
        <v>0.04</v>
      </c>
      <c r="P257" s="28">
        <v>0.83</v>
      </c>
      <c r="Q257" s="28">
        <v>8</v>
      </c>
      <c r="R257" s="26"/>
      <c r="S257" s="26"/>
      <c r="T257" s="26"/>
      <c r="U257" s="26"/>
    </row>
    <row r="258" spans="1:21" x14ac:dyDescent="0.3">
      <c r="A258" s="26"/>
      <c r="B258" s="29">
        <v>45146</v>
      </c>
      <c r="C258" s="28" t="s">
        <v>13</v>
      </c>
      <c r="D258" s="28" t="s">
        <v>84</v>
      </c>
      <c r="E258" s="28" t="s">
        <v>48</v>
      </c>
      <c r="F258" s="28" t="s">
        <v>41</v>
      </c>
      <c r="G258" s="28" t="s">
        <v>31</v>
      </c>
      <c r="H258" s="28" t="s">
        <v>87</v>
      </c>
      <c r="I258" s="28">
        <v>2150</v>
      </c>
      <c r="J258" s="28">
        <v>72000</v>
      </c>
      <c r="K258" s="28">
        <v>3600</v>
      </c>
      <c r="L258" s="28">
        <v>180</v>
      </c>
      <c r="M258" s="28">
        <v>0.05</v>
      </c>
      <c r="N258" s="28">
        <v>27000</v>
      </c>
      <c r="O258" s="28">
        <v>0.05</v>
      </c>
      <c r="P258" s="28">
        <v>0.6</v>
      </c>
      <c r="Q258" s="28">
        <v>11.56</v>
      </c>
      <c r="R258" s="26"/>
      <c r="S258" s="26"/>
      <c r="T258" s="26"/>
      <c r="U258" s="26"/>
    </row>
    <row r="259" spans="1:21" x14ac:dyDescent="0.3">
      <c r="A259" s="26"/>
      <c r="B259" s="29">
        <v>45153</v>
      </c>
      <c r="C259" s="28" t="s">
        <v>12</v>
      </c>
      <c r="D259" s="28" t="s">
        <v>68</v>
      </c>
      <c r="E259" s="28" t="s">
        <v>47</v>
      </c>
      <c r="F259" s="28" t="s">
        <v>41</v>
      </c>
      <c r="G259" s="28" t="s">
        <v>32</v>
      </c>
      <c r="H259" s="28" t="s">
        <v>87</v>
      </c>
      <c r="I259" s="28">
        <v>2850</v>
      </c>
      <c r="J259" s="28">
        <v>91000</v>
      </c>
      <c r="K259" s="28">
        <v>3640</v>
      </c>
      <c r="L259" s="28">
        <v>182</v>
      </c>
      <c r="M259" s="28">
        <v>0.05</v>
      </c>
      <c r="N259" s="28">
        <v>27300</v>
      </c>
      <c r="O259" s="28">
        <v>0.04</v>
      </c>
      <c r="P259" s="28">
        <v>0.78</v>
      </c>
      <c r="Q259" s="28">
        <v>8.58</v>
      </c>
      <c r="R259" s="26"/>
      <c r="S259" s="26"/>
      <c r="T259" s="26"/>
      <c r="U259" s="26"/>
    </row>
    <row r="260" spans="1:21" x14ac:dyDescent="0.3">
      <c r="A260" s="26"/>
      <c r="B260" s="29">
        <v>45160</v>
      </c>
      <c r="C260" s="28" t="s">
        <v>13</v>
      </c>
      <c r="D260" s="28" t="s">
        <v>67</v>
      </c>
      <c r="E260" s="28" t="s">
        <v>48</v>
      </c>
      <c r="F260" s="28" t="s">
        <v>37</v>
      </c>
      <c r="G260" s="28" t="s">
        <v>30</v>
      </c>
      <c r="H260" s="28" t="s">
        <v>87</v>
      </c>
      <c r="I260" s="28">
        <v>5400</v>
      </c>
      <c r="J260" s="28">
        <v>58000</v>
      </c>
      <c r="K260" s="28">
        <v>1740</v>
      </c>
      <c r="L260" s="28">
        <v>87</v>
      </c>
      <c r="M260" s="28">
        <v>0.05</v>
      </c>
      <c r="N260" s="28">
        <v>21750</v>
      </c>
      <c r="O260" s="28">
        <v>0.03</v>
      </c>
      <c r="P260" s="28">
        <v>3.1</v>
      </c>
      <c r="Q260" s="28">
        <v>3.03</v>
      </c>
      <c r="R260" s="26"/>
      <c r="S260" s="26"/>
      <c r="T260" s="26"/>
      <c r="U260" s="26"/>
    </row>
    <row r="261" spans="1:21" x14ac:dyDescent="0.3">
      <c r="A261" s="26"/>
      <c r="B261" s="29">
        <v>45167</v>
      </c>
      <c r="C261" s="28" t="s">
        <v>12</v>
      </c>
      <c r="D261" s="28" t="s">
        <v>72</v>
      </c>
      <c r="E261" s="28" t="s">
        <v>47</v>
      </c>
      <c r="F261" s="28" t="s">
        <v>44</v>
      </c>
      <c r="G261" s="28" t="s">
        <v>31</v>
      </c>
      <c r="H261" s="28" t="s">
        <v>87</v>
      </c>
      <c r="I261" s="28">
        <v>2050</v>
      </c>
      <c r="J261" s="28">
        <v>70000</v>
      </c>
      <c r="K261" s="28">
        <v>3500</v>
      </c>
      <c r="L261" s="28">
        <v>175</v>
      </c>
      <c r="M261" s="28">
        <v>0.05</v>
      </c>
      <c r="N261" s="28">
        <v>26250</v>
      </c>
      <c r="O261" s="28">
        <v>0.05</v>
      </c>
      <c r="P261" s="28">
        <v>0.59</v>
      </c>
      <c r="Q261" s="28">
        <v>11.8</v>
      </c>
      <c r="R261" s="26"/>
      <c r="S261" s="26"/>
      <c r="T261" s="26"/>
      <c r="U261" s="26"/>
    </row>
    <row r="262" spans="1:21" x14ac:dyDescent="0.3">
      <c r="A262" s="26"/>
      <c r="B262" s="29">
        <v>45174</v>
      </c>
      <c r="C262" s="28" t="s">
        <v>13</v>
      </c>
      <c r="D262" s="28" t="s">
        <v>82</v>
      </c>
      <c r="E262" s="28" t="s">
        <v>47</v>
      </c>
      <c r="F262" s="28" t="s">
        <v>45</v>
      </c>
      <c r="G262" s="28" t="s">
        <v>33</v>
      </c>
      <c r="H262" s="28" t="s">
        <v>87</v>
      </c>
      <c r="I262" s="28">
        <v>3250</v>
      </c>
      <c r="J262" s="28">
        <v>99000</v>
      </c>
      <c r="K262" s="28">
        <v>3960</v>
      </c>
      <c r="L262" s="28">
        <v>198</v>
      </c>
      <c r="M262" s="28">
        <v>0.05</v>
      </c>
      <c r="N262" s="28">
        <v>29700</v>
      </c>
      <c r="O262" s="28">
        <v>0.04</v>
      </c>
      <c r="P262" s="28">
        <v>0.82</v>
      </c>
      <c r="Q262" s="28">
        <v>8.14</v>
      </c>
      <c r="R262" s="26"/>
      <c r="S262" s="26"/>
      <c r="T262" s="26"/>
      <c r="U262" s="26"/>
    </row>
    <row r="263" spans="1:21" x14ac:dyDescent="0.3">
      <c r="A263" s="26"/>
      <c r="B263" s="29">
        <v>45181</v>
      </c>
      <c r="C263" s="28" t="s">
        <v>10</v>
      </c>
      <c r="D263" s="28" t="s">
        <v>72</v>
      </c>
      <c r="E263" s="28" t="s">
        <v>47</v>
      </c>
      <c r="F263" s="28" t="s">
        <v>39</v>
      </c>
      <c r="G263" s="28" t="s">
        <v>31</v>
      </c>
      <c r="H263" s="28" t="s">
        <v>87</v>
      </c>
      <c r="I263" s="28">
        <v>2400</v>
      </c>
      <c r="J263" s="28">
        <v>76000</v>
      </c>
      <c r="K263" s="28">
        <v>3800</v>
      </c>
      <c r="L263" s="28">
        <v>190</v>
      </c>
      <c r="M263" s="28">
        <v>0.05</v>
      </c>
      <c r="N263" s="28">
        <v>28500</v>
      </c>
      <c r="O263" s="28">
        <v>0.05</v>
      </c>
      <c r="P263" s="28">
        <v>0.63</v>
      </c>
      <c r="Q263" s="28">
        <v>10.88</v>
      </c>
      <c r="R263" s="26"/>
      <c r="S263" s="26"/>
      <c r="T263" s="26"/>
      <c r="U263" s="26"/>
    </row>
    <row r="264" spans="1:21" x14ac:dyDescent="0.3">
      <c r="A264" s="26"/>
      <c r="B264" s="29">
        <v>45188</v>
      </c>
      <c r="C264" s="28" t="s">
        <v>11</v>
      </c>
      <c r="D264" s="28" t="s">
        <v>65</v>
      </c>
      <c r="E264" s="28" t="s">
        <v>47</v>
      </c>
      <c r="F264" s="28" t="s">
        <v>37</v>
      </c>
      <c r="G264" s="28" t="s">
        <v>32</v>
      </c>
      <c r="H264" s="28" t="s">
        <v>87</v>
      </c>
      <c r="I264" s="28">
        <v>3750</v>
      </c>
      <c r="J264" s="28">
        <v>117000</v>
      </c>
      <c r="K264" s="28">
        <v>4680</v>
      </c>
      <c r="L264" s="28">
        <v>234</v>
      </c>
      <c r="M264" s="28">
        <v>0.05</v>
      </c>
      <c r="N264" s="28">
        <v>35100</v>
      </c>
      <c r="O264" s="28">
        <v>0.04</v>
      </c>
      <c r="P264" s="28">
        <v>0.8</v>
      </c>
      <c r="Q264" s="28">
        <v>8.36</v>
      </c>
      <c r="R264" s="26"/>
      <c r="S264" s="26"/>
      <c r="T264" s="26"/>
      <c r="U264" s="26"/>
    </row>
    <row r="265" spans="1:21" x14ac:dyDescent="0.3">
      <c r="A265" s="26"/>
      <c r="B265" s="29">
        <v>45195</v>
      </c>
      <c r="C265" s="28" t="s">
        <v>11</v>
      </c>
      <c r="D265" s="28" t="s">
        <v>67</v>
      </c>
      <c r="E265" s="28" t="s">
        <v>48</v>
      </c>
      <c r="F265" s="28" t="s">
        <v>41</v>
      </c>
      <c r="G265" s="28" t="s">
        <v>30</v>
      </c>
      <c r="H265" s="28" t="s">
        <v>88</v>
      </c>
      <c r="I265" s="28">
        <v>5600</v>
      </c>
      <c r="J265" s="28">
        <v>60000</v>
      </c>
      <c r="K265" s="28">
        <v>1800</v>
      </c>
      <c r="L265" s="28">
        <v>90</v>
      </c>
      <c r="M265" s="28">
        <v>0.05</v>
      </c>
      <c r="N265" s="28">
        <v>22500</v>
      </c>
      <c r="O265" s="28">
        <v>0.03</v>
      </c>
      <c r="P265" s="28">
        <v>3.11</v>
      </c>
      <c r="Q265" s="28">
        <v>3.02</v>
      </c>
      <c r="R265" s="26"/>
      <c r="S265" s="26"/>
      <c r="T265" s="26"/>
      <c r="U265" s="26"/>
    </row>
    <row r="266" spans="1:21" x14ac:dyDescent="0.3">
      <c r="A266" s="26"/>
      <c r="B266" s="29">
        <v>45202</v>
      </c>
      <c r="C266" s="28" t="s">
        <v>13</v>
      </c>
      <c r="D266" s="28" t="s">
        <v>78</v>
      </c>
      <c r="E266" s="28" t="s">
        <v>48</v>
      </c>
      <c r="F266" s="28" t="s">
        <v>37</v>
      </c>
      <c r="G266" s="28" t="s">
        <v>31</v>
      </c>
      <c r="H266" s="28" t="s">
        <v>88</v>
      </c>
      <c r="I266" s="28">
        <v>2550</v>
      </c>
      <c r="J266" s="28">
        <v>78000</v>
      </c>
      <c r="K266" s="28">
        <v>3900</v>
      </c>
      <c r="L266" s="28">
        <v>195</v>
      </c>
      <c r="M266" s="28">
        <v>0.05</v>
      </c>
      <c r="N266" s="28">
        <v>29250</v>
      </c>
      <c r="O266" s="28">
        <v>0.05</v>
      </c>
      <c r="P266" s="28">
        <v>0.65</v>
      </c>
      <c r="Q266" s="28">
        <v>10.47</v>
      </c>
      <c r="R266" s="26"/>
      <c r="S266" s="26"/>
      <c r="T266" s="26"/>
      <c r="U266" s="26"/>
    </row>
    <row r="267" spans="1:21" x14ac:dyDescent="0.3">
      <c r="A267" s="26"/>
      <c r="B267" s="29">
        <v>45209</v>
      </c>
      <c r="C267" s="28" t="s">
        <v>12</v>
      </c>
      <c r="D267" s="28" t="s">
        <v>83</v>
      </c>
      <c r="E267" s="28" t="s">
        <v>49</v>
      </c>
      <c r="F267" s="28" t="s">
        <v>45</v>
      </c>
      <c r="G267" s="28" t="s">
        <v>33</v>
      </c>
      <c r="H267" s="28" t="s">
        <v>88</v>
      </c>
      <c r="I267" s="28">
        <v>3150</v>
      </c>
      <c r="J267" s="28">
        <v>96000</v>
      </c>
      <c r="K267" s="28">
        <v>3840</v>
      </c>
      <c r="L267" s="28">
        <v>192</v>
      </c>
      <c r="M267" s="28">
        <v>0.05</v>
      </c>
      <c r="N267" s="28">
        <v>28800</v>
      </c>
      <c r="O267" s="28">
        <v>0.04</v>
      </c>
      <c r="P267" s="28">
        <v>0.82</v>
      </c>
      <c r="Q267" s="28">
        <v>8.14</v>
      </c>
      <c r="R267" s="26"/>
      <c r="S267" s="26"/>
      <c r="T267" s="26"/>
      <c r="U267" s="26"/>
    </row>
    <row r="268" spans="1:21" x14ac:dyDescent="0.3">
      <c r="A268" s="26"/>
      <c r="B268" s="29">
        <v>45216</v>
      </c>
      <c r="C268" s="28" t="s">
        <v>11</v>
      </c>
      <c r="D268" s="28" t="s">
        <v>65</v>
      </c>
      <c r="E268" s="28" t="s">
        <v>47</v>
      </c>
      <c r="F268" s="28" t="s">
        <v>42</v>
      </c>
      <c r="G268" s="28" t="s">
        <v>31</v>
      </c>
      <c r="H268" s="28" t="s">
        <v>88</v>
      </c>
      <c r="I268" s="28">
        <v>2250</v>
      </c>
      <c r="J268" s="28">
        <v>74000</v>
      </c>
      <c r="K268" s="28">
        <v>3700</v>
      </c>
      <c r="L268" s="28">
        <v>185</v>
      </c>
      <c r="M268" s="28">
        <v>0.05</v>
      </c>
      <c r="N268" s="28">
        <v>27750</v>
      </c>
      <c r="O268" s="28">
        <v>0.05</v>
      </c>
      <c r="P268" s="28">
        <v>0.61</v>
      </c>
      <c r="Q268" s="28">
        <v>11.33</v>
      </c>
      <c r="R268" s="26"/>
      <c r="S268" s="26"/>
      <c r="T268" s="26"/>
      <c r="U268" s="26"/>
    </row>
    <row r="269" spans="1:21" x14ac:dyDescent="0.3">
      <c r="A269" s="26"/>
      <c r="B269" s="29">
        <v>45223</v>
      </c>
      <c r="C269" s="28" t="s">
        <v>13</v>
      </c>
      <c r="D269" s="28" t="s">
        <v>65</v>
      </c>
      <c r="E269" s="28" t="s">
        <v>47</v>
      </c>
      <c r="F269" s="28" t="s">
        <v>44</v>
      </c>
      <c r="G269" s="28" t="s">
        <v>32</v>
      </c>
      <c r="H269" s="28" t="s">
        <v>88</v>
      </c>
      <c r="I269" s="28">
        <v>3650</v>
      </c>
      <c r="J269" s="28">
        <v>114000</v>
      </c>
      <c r="K269" s="28">
        <v>4560</v>
      </c>
      <c r="L269" s="28">
        <v>228</v>
      </c>
      <c r="M269" s="28">
        <v>0.05</v>
      </c>
      <c r="N269" s="28">
        <v>34200</v>
      </c>
      <c r="O269" s="28">
        <v>0.04</v>
      </c>
      <c r="P269" s="28">
        <v>0.8</v>
      </c>
      <c r="Q269" s="28">
        <v>8.3699999999999992</v>
      </c>
      <c r="R269" s="26"/>
      <c r="S269" s="26"/>
      <c r="T269" s="26"/>
      <c r="U269" s="26"/>
    </row>
    <row r="270" spans="1:21" x14ac:dyDescent="0.3">
      <c r="A270" s="26"/>
      <c r="B270" s="29">
        <v>45230</v>
      </c>
      <c r="C270" s="28" t="s">
        <v>11</v>
      </c>
      <c r="D270" s="28" t="s">
        <v>67</v>
      </c>
      <c r="E270" s="28" t="s">
        <v>48</v>
      </c>
      <c r="F270" s="28" t="s">
        <v>34</v>
      </c>
      <c r="G270" s="28" t="s">
        <v>30</v>
      </c>
      <c r="H270" s="28" t="s">
        <v>88</v>
      </c>
      <c r="I270" s="28">
        <v>5200</v>
      </c>
      <c r="J270" s="28">
        <v>56000</v>
      </c>
      <c r="K270" s="28">
        <v>1680</v>
      </c>
      <c r="L270" s="28">
        <v>84</v>
      </c>
      <c r="M270" s="28">
        <v>0.05</v>
      </c>
      <c r="N270" s="28">
        <v>21000</v>
      </c>
      <c r="O270" s="28">
        <v>0.03</v>
      </c>
      <c r="P270" s="28">
        <v>3.1</v>
      </c>
      <c r="Q270" s="28">
        <v>3.04</v>
      </c>
      <c r="R270" s="26"/>
      <c r="S270" s="26"/>
      <c r="T270" s="26"/>
      <c r="U270" s="26"/>
    </row>
    <row r="271" spans="1:21" x14ac:dyDescent="0.3">
      <c r="A271" s="26"/>
      <c r="B271" s="29">
        <v>45237</v>
      </c>
      <c r="C271" s="28" t="s">
        <v>13</v>
      </c>
      <c r="D271" s="28" t="s">
        <v>71</v>
      </c>
      <c r="E271" s="28" t="s">
        <v>48</v>
      </c>
      <c r="F271" s="28" t="s">
        <v>45</v>
      </c>
      <c r="G271" s="28" t="s">
        <v>31</v>
      </c>
      <c r="H271" s="28" t="s">
        <v>88</v>
      </c>
      <c r="I271" s="28">
        <v>2450</v>
      </c>
      <c r="J271" s="28">
        <v>77000</v>
      </c>
      <c r="K271" s="28">
        <v>3850</v>
      </c>
      <c r="L271" s="28">
        <v>192</v>
      </c>
      <c r="M271" s="28">
        <v>0.05</v>
      </c>
      <c r="N271" s="28">
        <v>28875</v>
      </c>
      <c r="O271" s="28">
        <v>0.05</v>
      </c>
      <c r="P271" s="28">
        <v>0.64</v>
      </c>
      <c r="Q271" s="28">
        <v>10.79</v>
      </c>
      <c r="R271" s="26"/>
      <c r="S271" s="26"/>
      <c r="T271" s="26"/>
      <c r="U271" s="26"/>
    </row>
    <row r="272" spans="1:21" x14ac:dyDescent="0.3">
      <c r="A272" s="26"/>
      <c r="B272" s="29">
        <v>45244</v>
      </c>
      <c r="C272" s="28" t="s">
        <v>10</v>
      </c>
      <c r="D272" s="28" t="s">
        <v>71</v>
      </c>
      <c r="E272" s="28" t="s">
        <v>48</v>
      </c>
      <c r="F272" s="28" t="s">
        <v>37</v>
      </c>
      <c r="G272" s="28" t="s">
        <v>33</v>
      </c>
      <c r="H272" s="28" t="s">
        <v>88</v>
      </c>
      <c r="I272" s="28">
        <v>3350</v>
      </c>
      <c r="J272" s="28">
        <v>101000</v>
      </c>
      <c r="K272" s="28">
        <v>4040</v>
      </c>
      <c r="L272" s="28">
        <v>202</v>
      </c>
      <c r="M272" s="28">
        <v>0.05</v>
      </c>
      <c r="N272" s="28">
        <v>30300</v>
      </c>
      <c r="O272" s="28">
        <v>0.04</v>
      </c>
      <c r="P272" s="28">
        <v>0.83</v>
      </c>
      <c r="Q272" s="28">
        <v>8.0399999999999991</v>
      </c>
      <c r="R272" s="26"/>
      <c r="S272" s="26"/>
      <c r="T272" s="26"/>
      <c r="U272" s="26"/>
    </row>
    <row r="273" spans="1:21" x14ac:dyDescent="0.3">
      <c r="A273" s="26"/>
      <c r="B273" s="29">
        <v>45251</v>
      </c>
      <c r="C273" s="28" t="s">
        <v>13</v>
      </c>
      <c r="D273" s="28" t="s">
        <v>72</v>
      </c>
      <c r="E273" s="28" t="s">
        <v>47</v>
      </c>
      <c r="F273" s="28" t="s">
        <v>41</v>
      </c>
      <c r="G273" s="28" t="s">
        <v>31</v>
      </c>
      <c r="H273" s="28" t="s">
        <v>88</v>
      </c>
      <c r="I273" s="28">
        <v>2150</v>
      </c>
      <c r="J273" s="28">
        <v>72000</v>
      </c>
      <c r="K273" s="28">
        <v>3600</v>
      </c>
      <c r="L273" s="28">
        <v>180</v>
      </c>
      <c r="M273" s="28">
        <v>0.05</v>
      </c>
      <c r="N273" s="28">
        <v>27000</v>
      </c>
      <c r="O273" s="28">
        <v>0.05</v>
      </c>
      <c r="P273" s="28">
        <v>0.6</v>
      </c>
      <c r="Q273" s="28">
        <v>11.56</v>
      </c>
      <c r="R273" s="26"/>
      <c r="S273" s="26"/>
      <c r="T273" s="26"/>
      <c r="U273" s="26"/>
    </row>
    <row r="274" spans="1:21" x14ac:dyDescent="0.3">
      <c r="A274" s="26"/>
      <c r="B274" s="29">
        <v>45258</v>
      </c>
      <c r="C274" s="28" t="s">
        <v>12</v>
      </c>
      <c r="D274" s="28" t="s">
        <v>65</v>
      </c>
      <c r="E274" s="28" t="s">
        <v>47</v>
      </c>
      <c r="F274" s="28" t="s">
        <v>45</v>
      </c>
      <c r="G274" s="28" t="s">
        <v>32</v>
      </c>
      <c r="H274" s="28" t="s">
        <v>88</v>
      </c>
      <c r="I274" s="28">
        <v>4050</v>
      </c>
      <c r="J274" s="28">
        <v>124000</v>
      </c>
      <c r="K274" s="28">
        <v>4960</v>
      </c>
      <c r="L274" s="28">
        <v>248</v>
      </c>
      <c r="M274" s="28">
        <v>0.05</v>
      </c>
      <c r="N274" s="28">
        <v>37200</v>
      </c>
      <c r="O274" s="28">
        <v>0.04</v>
      </c>
      <c r="P274" s="28">
        <v>0.82</v>
      </c>
      <c r="Q274" s="28">
        <v>8.19</v>
      </c>
      <c r="R274" s="26"/>
      <c r="S274" s="26"/>
      <c r="T274" s="26"/>
      <c r="U274" s="26"/>
    </row>
    <row r="275" spans="1:21" x14ac:dyDescent="0.3">
      <c r="A275" s="26"/>
      <c r="B275" s="29">
        <v>45265</v>
      </c>
      <c r="C275" s="28" t="s">
        <v>13</v>
      </c>
      <c r="D275" s="28" t="s">
        <v>67</v>
      </c>
      <c r="E275" s="28" t="s">
        <v>48</v>
      </c>
      <c r="F275" s="28" t="s">
        <v>41</v>
      </c>
      <c r="G275" s="28" t="s">
        <v>30</v>
      </c>
      <c r="H275" s="28" t="s">
        <v>88</v>
      </c>
      <c r="I275" s="28">
        <v>5900</v>
      </c>
      <c r="J275" s="28">
        <v>62000</v>
      </c>
      <c r="K275" s="28">
        <v>1860</v>
      </c>
      <c r="L275" s="28">
        <v>93</v>
      </c>
      <c r="M275" s="28">
        <v>0.05</v>
      </c>
      <c r="N275" s="28">
        <v>23250</v>
      </c>
      <c r="O275" s="28">
        <v>0.03</v>
      </c>
      <c r="P275" s="28">
        <v>3.17</v>
      </c>
      <c r="Q275" s="28">
        <v>2.94</v>
      </c>
      <c r="R275" s="26"/>
      <c r="S275" s="26"/>
      <c r="T275" s="26"/>
      <c r="U275" s="26"/>
    </row>
    <row r="276" spans="1:21" x14ac:dyDescent="0.3">
      <c r="A276" s="26"/>
      <c r="B276" s="29">
        <v>45272</v>
      </c>
      <c r="C276" s="28" t="s">
        <v>12</v>
      </c>
      <c r="D276" s="28" t="s">
        <v>77</v>
      </c>
      <c r="E276" s="28" t="s">
        <v>49</v>
      </c>
      <c r="F276" s="28" t="s">
        <v>34</v>
      </c>
      <c r="G276" s="28" t="s">
        <v>31</v>
      </c>
      <c r="H276" s="28" t="s">
        <v>88</v>
      </c>
      <c r="I276" s="28">
        <v>2350</v>
      </c>
      <c r="J276" s="28">
        <v>75000</v>
      </c>
      <c r="K276" s="28">
        <v>3750</v>
      </c>
      <c r="L276" s="28">
        <v>188</v>
      </c>
      <c r="M276" s="28">
        <v>0.05</v>
      </c>
      <c r="N276" s="28">
        <v>28125</v>
      </c>
      <c r="O276" s="28">
        <v>0.05</v>
      </c>
      <c r="P276" s="28">
        <v>0.63</v>
      </c>
      <c r="Q276" s="28">
        <v>10.97</v>
      </c>
      <c r="R276" s="26"/>
      <c r="S276" s="26"/>
      <c r="T276" s="26"/>
      <c r="U276" s="26"/>
    </row>
    <row r="277" spans="1:21" x14ac:dyDescent="0.3">
      <c r="A277" s="26"/>
      <c r="B277" s="29">
        <v>45279</v>
      </c>
      <c r="C277" s="28" t="s">
        <v>11</v>
      </c>
      <c r="D277" s="28" t="s">
        <v>69</v>
      </c>
      <c r="E277" s="28" t="s">
        <v>47</v>
      </c>
      <c r="F277" s="28" t="s">
        <v>34</v>
      </c>
      <c r="G277" s="28" t="s">
        <v>33</v>
      </c>
      <c r="H277" s="28" t="s">
        <v>88</v>
      </c>
      <c r="I277" s="28">
        <v>3500</v>
      </c>
      <c r="J277" s="28">
        <v>105000</v>
      </c>
      <c r="K277" s="28">
        <v>4200</v>
      </c>
      <c r="L277" s="28">
        <v>210</v>
      </c>
      <c r="M277" s="28">
        <v>0.05</v>
      </c>
      <c r="N277" s="28">
        <v>31500</v>
      </c>
      <c r="O277" s="28">
        <v>0.04</v>
      </c>
      <c r="P277" s="28">
        <v>0.83</v>
      </c>
      <c r="Q277" s="28">
        <v>8</v>
      </c>
      <c r="R277" s="26"/>
      <c r="S277" s="26"/>
      <c r="T277" s="26"/>
      <c r="U277" s="26"/>
    </row>
    <row r="278" spans="1:21" x14ac:dyDescent="0.3">
      <c r="A278" s="26"/>
      <c r="B278" s="29">
        <v>45286</v>
      </c>
      <c r="C278" s="28" t="s">
        <v>12</v>
      </c>
      <c r="D278" s="28" t="s">
        <v>68</v>
      </c>
      <c r="E278" s="28" t="s">
        <v>47</v>
      </c>
      <c r="F278" s="28" t="s">
        <v>44</v>
      </c>
      <c r="G278" s="28" t="s">
        <v>31</v>
      </c>
      <c r="H278" s="28" t="s">
        <v>88</v>
      </c>
      <c r="I278" s="28">
        <v>2650</v>
      </c>
      <c r="J278" s="28">
        <v>80000</v>
      </c>
      <c r="K278" s="28">
        <v>4000</v>
      </c>
      <c r="L278" s="28">
        <v>200</v>
      </c>
      <c r="M278" s="28">
        <v>0.05</v>
      </c>
      <c r="N278" s="28">
        <v>30000</v>
      </c>
      <c r="O278" s="28">
        <v>0.05</v>
      </c>
      <c r="P278" s="28">
        <v>0.66</v>
      </c>
      <c r="Q278" s="28">
        <v>10.32</v>
      </c>
      <c r="R278" s="26"/>
      <c r="S278" s="26"/>
      <c r="T278" s="26"/>
      <c r="U278" s="26"/>
    </row>
    <row r="279" spans="1:21" x14ac:dyDescent="0.3">
      <c r="A279" s="26"/>
      <c r="B279" s="29">
        <v>45293</v>
      </c>
      <c r="C279" s="28" t="s">
        <v>11</v>
      </c>
      <c r="D279" s="28" t="s">
        <v>66</v>
      </c>
      <c r="E279" s="28" t="s">
        <v>48</v>
      </c>
      <c r="F279" s="28" t="s">
        <v>37</v>
      </c>
      <c r="G279" s="28" t="s">
        <v>32</v>
      </c>
      <c r="H279" s="28" t="s">
        <v>85</v>
      </c>
      <c r="I279" s="28">
        <v>2950</v>
      </c>
      <c r="J279" s="28">
        <v>94000</v>
      </c>
      <c r="K279" s="28">
        <v>3760</v>
      </c>
      <c r="L279" s="28">
        <v>188</v>
      </c>
      <c r="M279" s="28">
        <v>0.05</v>
      </c>
      <c r="N279" s="28">
        <v>28200</v>
      </c>
      <c r="O279" s="28">
        <v>0.04</v>
      </c>
      <c r="P279" s="28">
        <v>0.78</v>
      </c>
      <c r="Q279" s="28">
        <v>8.56</v>
      </c>
      <c r="R279" s="26"/>
      <c r="S279" s="26"/>
      <c r="T279" s="26"/>
      <c r="U279" s="26"/>
    </row>
    <row r="280" spans="1:21" x14ac:dyDescent="0.3">
      <c r="A280" s="26"/>
      <c r="B280" s="29">
        <v>45300</v>
      </c>
      <c r="C280" s="28" t="s">
        <v>13</v>
      </c>
      <c r="D280" s="28" t="s">
        <v>66</v>
      </c>
      <c r="E280" s="28" t="s">
        <v>48</v>
      </c>
      <c r="F280" s="28" t="s">
        <v>41</v>
      </c>
      <c r="G280" s="28" t="s">
        <v>30</v>
      </c>
      <c r="H280" s="28" t="s">
        <v>85</v>
      </c>
      <c r="I280" s="28">
        <v>5000</v>
      </c>
      <c r="J280" s="28">
        <v>54000</v>
      </c>
      <c r="K280" s="28">
        <v>1620</v>
      </c>
      <c r="L280" s="28">
        <v>81</v>
      </c>
      <c r="M280" s="28">
        <v>0.05</v>
      </c>
      <c r="N280" s="28">
        <v>20250</v>
      </c>
      <c r="O280" s="28">
        <v>0.03</v>
      </c>
      <c r="P280" s="28">
        <v>3.09</v>
      </c>
      <c r="Q280" s="28">
        <v>3.05</v>
      </c>
      <c r="R280" s="26"/>
      <c r="S280" s="26"/>
      <c r="T280" s="26"/>
      <c r="U280" s="26"/>
    </row>
    <row r="281" spans="1:21" x14ac:dyDescent="0.3">
      <c r="A281" s="26"/>
      <c r="B281" s="29">
        <v>45307</v>
      </c>
      <c r="C281" s="28" t="s">
        <v>10</v>
      </c>
      <c r="D281" s="28" t="s">
        <v>66</v>
      </c>
      <c r="E281" s="28" t="s">
        <v>48</v>
      </c>
      <c r="F281" s="28" t="s">
        <v>36</v>
      </c>
      <c r="G281" s="28" t="s">
        <v>31</v>
      </c>
      <c r="H281" s="28" t="s">
        <v>85</v>
      </c>
      <c r="I281" s="28">
        <v>1850</v>
      </c>
      <c r="J281" s="28">
        <v>65000</v>
      </c>
      <c r="K281" s="28">
        <v>3250</v>
      </c>
      <c r="L281" s="28">
        <v>162</v>
      </c>
      <c r="M281" s="28">
        <v>0.05</v>
      </c>
      <c r="N281" s="28">
        <v>24375</v>
      </c>
      <c r="O281" s="28">
        <v>0.05</v>
      </c>
      <c r="P281" s="28">
        <v>0.56999999999999995</v>
      </c>
      <c r="Q281" s="28">
        <v>12.18</v>
      </c>
      <c r="R281" s="26"/>
      <c r="S281" s="26"/>
      <c r="T281" s="26"/>
      <c r="U281" s="26"/>
    </row>
    <row r="282" spans="1:21" x14ac:dyDescent="0.3">
      <c r="A282" s="26"/>
      <c r="B282" s="29">
        <v>45314</v>
      </c>
      <c r="C282" s="28" t="s">
        <v>11</v>
      </c>
      <c r="D282" s="28" t="s">
        <v>69</v>
      </c>
      <c r="E282" s="28" t="s">
        <v>47</v>
      </c>
      <c r="F282" s="28" t="s">
        <v>42</v>
      </c>
      <c r="G282" s="28" t="s">
        <v>33</v>
      </c>
      <c r="H282" s="28" t="s">
        <v>85</v>
      </c>
      <c r="I282" s="28">
        <v>3200</v>
      </c>
      <c r="J282" s="28">
        <v>98000</v>
      </c>
      <c r="K282" s="28">
        <v>3920</v>
      </c>
      <c r="L282" s="28">
        <v>196</v>
      </c>
      <c r="M282" s="28">
        <v>0.05</v>
      </c>
      <c r="N282" s="28">
        <v>29400</v>
      </c>
      <c r="O282" s="28">
        <v>0.04</v>
      </c>
      <c r="P282" s="28">
        <v>0.82</v>
      </c>
      <c r="Q282" s="28">
        <v>8.19</v>
      </c>
      <c r="R282" s="26"/>
      <c r="S282" s="26"/>
      <c r="T282" s="26"/>
      <c r="U282" s="26"/>
    </row>
    <row r="283" spans="1:21" x14ac:dyDescent="0.3">
      <c r="A283" s="26"/>
      <c r="B283" s="29">
        <v>45321</v>
      </c>
      <c r="C283" s="28" t="s">
        <v>11</v>
      </c>
      <c r="D283" s="28" t="s">
        <v>65</v>
      </c>
      <c r="E283" s="28" t="s">
        <v>47</v>
      </c>
      <c r="F283" s="28" t="s">
        <v>36</v>
      </c>
      <c r="G283" s="28" t="s">
        <v>31</v>
      </c>
      <c r="H283" s="28" t="s">
        <v>85</v>
      </c>
      <c r="I283" s="28">
        <v>2200</v>
      </c>
      <c r="J283" s="28">
        <v>73000</v>
      </c>
      <c r="K283" s="28">
        <v>3650</v>
      </c>
      <c r="L283" s="28">
        <v>182</v>
      </c>
      <c r="M283" s="28">
        <v>0.05</v>
      </c>
      <c r="N283" s="28">
        <v>27375</v>
      </c>
      <c r="O283" s="28">
        <v>0.05</v>
      </c>
      <c r="P283" s="28">
        <v>0.6</v>
      </c>
      <c r="Q283" s="28">
        <v>11.44</v>
      </c>
      <c r="R283" s="26"/>
      <c r="S283" s="26"/>
      <c r="T283" s="26"/>
      <c r="U283" s="26"/>
    </row>
    <row r="284" spans="1:21" x14ac:dyDescent="0.3">
      <c r="A284" s="26"/>
      <c r="B284" s="29">
        <v>45328</v>
      </c>
      <c r="C284" s="28" t="s">
        <v>12</v>
      </c>
      <c r="D284" s="28" t="s">
        <v>66</v>
      </c>
      <c r="E284" s="28" t="s">
        <v>48</v>
      </c>
      <c r="F284" s="28" t="s">
        <v>41</v>
      </c>
      <c r="G284" s="28" t="s">
        <v>32</v>
      </c>
      <c r="H284" s="28" t="s">
        <v>85</v>
      </c>
      <c r="I284" s="28">
        <v>3700</v>
      </c>
      <c r="J284" s="28">
        <v>116000</v>
      </c>
      <c r="K284" s="28">
        <v>4640</v>
      </c>
      <c r="L284" s="28">
        <v>232</v>
      </c>
      <c r="M284" s="28">
        <v>0.05</v>
      </c>
      <c r="N284" s="28">
        <v>34800</v>
      </c>
      <c r="O284" s="28">
        <v>0.04</v>
      </c>
      <c r="P284" s="28">
        <v>0.8</v>
      </c>
      <c r="Q284" s="28">
        <v>8.41</v>
      </c>
      <c r="R284" s="26"/>
      <c r="S284" s="26"/>
      <c r="T284" s="26"/>
      <c r="U284" s="26"/>
    </row>
    <row r="285" spans="1:21" x14ac:dyDescent="0.3">
      <c r="A285" s="26"/>
      <c r="B285" s="29">
        <v>45335</v>
      </c>
      <c r="C285" s="28" t="s">
        <v>12</v>
      </c>
      <c r="D285" s="28" t="s">
        <v>72</v>
      </c>
      <c r="E285" s="28" t="s">
        <v>47</v>
      </c>
      <c r="F285" s="28" t="s">
        <v>41</v>
      </c>
      <c r="G285" s="28" t="s">
        <v>30</v>
      </c>
      <c r="H285" s="28" t="s">
        <v>85</v>
      </c>
      <c r="I285" s="28">
        <v>5400</v>
      </c>
      <c r="J285" s="28">
        <v>58000</v>
      </c>
      <c r="K285" s="28">
        <v>1740</v>
      </c>
      <c r="L285" s="28">
        <v>87</v>
      </c>
      <c r="M285" s="28">
        <v>0.05</v>
      </c>
      <c r="N285" s="28">
        <v>21750</v>
      </c>
      <c r="O285" s="28">
        <v>0.03</v>
      </c>
      <c r="P285" s="28">
        <v>3.1</v>
      </c>
      <c r="Q285" s="28">
        <v>3.03</v>
      </c>
      <c r="R285" s="26"/>
      <c r="S285" s="26"/>
      <c r="T285" s="26"/>
      <c r="U285" s="26"/>
    </row>
    <row r="286" spans="1:21" x14ac:dyDescent="0.3">
      <c r="A286" s="26"/>
      <c r="B286" s="29">
        <v>45342</v>
      </c>
      <c r="C286" s="28" t="s">
        <v>11</v>
      </c>
      <c r="D286" s="28" t="s">
        <v>73</v>
      </c>
      <c r="E286" s="28" t="s">
        <v>47</v>
      </c>
      <c r="F286" s="28" t="s">
        <v>45</v>
      </c>
      <c r="G286" s="28" t="s">
        <v>31</v>
      </c>
      <c r="H286" s="28" t="s">
        <v>85</v>
      </c>
      <c r="I286" s="28">
        <v>2300</v>
      </c>
      <c r="J286" s="28">
        <v>75000</v>
      </c>
      <c r="K286" s="28">
        <v>3750</v>
      </c>
      <c r="L286" s="28">
        <v>188</v>
      </c>
      <c r="M286" s="28">
        <v>0.05</v>
      </c>
      <c r="N286" s="28">
        <v>28125</v>
      </c>
      <c r="O286" s="28">
        <v>0.05</v>
      </c>
      <c r="P286" s="28">
        <v>0.61</v>
      </c>
      <c r="Q286" s="28">
        <v>11.23</v>
      </c>
      <c r="R286" s="26"/>
      <c r="S286" s="26"/>
      <c r="T286" s="26"/>
      <c r="U286" s="26"/>
    </row>
    <row r="287" spans="1:21" x14ac:dyDescent="0.3">
      <c r="A287" s="26"/>
      <c r="B287" s="29">
        <v>45349</v>
      </c>
      <c r="C287" s="28" t="s">
        <v>12</v>
      </c>
      <c r="D287" s="28" t="s">
        <v>82</v>
      </c>
      <c r="E287" s="28" t="s">
        <v>47</v>
      </c>
      <c r="F287" s="28" t="s">
        <v>43</v>
      </c>
      <c r="G287" s="28" t="s">
        <v>33</v>
      </c>
      <c r="H287" s="28" t="s">
        <v>85</v>
      </c>
      <c r="I287" s="28">
        <v>3100</v>
      </c>
      <c r="J287" s="28">
        <v>95000</v>
      </c>
      <c r="K287" s="28">
        <v>3800</v>
      </c>
      <c r="L287" s="28">
        <v>190</v>
      </c>
      <c r="M287" s="28">
        <v>0.05</v>
      </c>
      <c r="N287" s="28">
        <v>28500</v>
      </c>
      <c r="O287" s="28">
        <v>0.04</v>
      </c>
      <c r="P287" s="28">
        <v>0.82</v>
      </c>
      <c r="Q287" s="28">
        <v>8.19</v>
      </c>
      <c r="R287" s="26"/>
      <c r="S287" s="26"/>
      <c r="T287" s="26"/>
      <c r="U287" s="26"/>
    </row>
    <row r="288" spans="1:21" x14ac:dyDescent="0.3">
      <c r="A288" s="26"/>
      <c r="B288" s="29">
        <v>45356</v>
      </c>
      <c r="C288" s="28" t="s">
        <v>12</v>
      </c>
      <c r="D288" s="28" t="s">
        <v>77</v>
      </c>
      <c r="E288" s="28" t="s">
        <v>49</v>
      </c>
      <c r="F288" s="28" t="s">
        <v>36</v>
      </c>
      <c r="G288" s="28" t="s">
        <v>31</v>
      </c>
      <c r="H288" s="28" t="s">
        <v>85</v>
      </c>
      <c r="I288" s="28">
        <v>2000</v>
      </c>
      <c r="J288" s="28">
        <v>69000</v>
      </c>
      <c r="K288" s="28">
        <v>3450</v>
      </c>
      <c r="L288" s="28">
        <v>172</v>
      </c>
      <c r="M288" s="28">
        <v>0.05</v>
      </c>
      <c r="N288" s="28">
        <v>25875</v>
      </c>
      <c r="O288" s="28">
        <v>0.05</v>
      </c>
      <c r="P288" s="28">
        <v>0.57999999999999996</v>
      </c>
      <c r="Q288" s="28">
        <v>11.94</v>
      </c>
      <c r="R288" s="26"/>
      <c r="S288" s="26"/>
      <c r="T288" s="26"/>
      <c r="U288" s="26"/>
    </row>
    <row r="289" spans="1:21" x14ac:dyDescent="0.3">
      <c r="A289" s="26"/>
      <c r="B289" s="29">
        <v>45363</v>
      </c>
      <c r="C289" s="28" t="s">
        <v>12</v>
      </c>
      <c r="D289" s="28" t="s">
        <v>68</v>
      </c>
      <c r="E289" s="28" t="s">
        <v>47</v>
      </c>
      <c r="F289" s="28" t="s">
        <v>40</v>
      </c>
      <c r="G289" s="28" t="s">
        <v>32</v>
      </c>
      <c r="H289" s="28" t="s">
        <v>85</v>
      </c>
      <c r="I289" s="28">
        <v>3600</v>
      </c>
      <c r="J289" s="28">
        <v>113000</v>
      </c>
      <c r="K289" s="28">
        <v>4520</v>
      </c>
      <c r="L289" s="28">
        <v>226</v>
      </c>
      <c r="M289" s="28">
        <v>0.05</v>
      </c>
      <c r="N289" s="28">
        <v>33900</v>
      </c>
      <c r="O289" s="28">
        <v>0.04</v>
      </c>
      <c r="P289" s="28">
        <v>0.8</v>
      </c>
      <c r="Q289" s="28">
        <v>8.42</v>
      </c>
      <c r="R289" s="26"/>
      <c r="S289" s="26"/>
      <c r="T289" s="26"/>
      <c r="U289" s="26"/>
    </row>
    <row r="290" spans="1:21" x14ac:dyDescent="0.3">
      <c r="A290" s="26"/>
      <c r="B290" s="29">
        <v>45530</v>
      </c>
      <c r="C290" s="28" t="s">
        <v>11</v>
      </c>
      <c r="D290" s="28" t="s">
        <v>79</v>
      </c>
      <c r="E290" s="28" t="s">
        <v>47</v>
      </c>
      <c r="F290" s="28" t="s">
        <v>41</v>
      </c>
      <c r="G290" s="28" t="s">
        <v>30</v>
      </c>
      <c r="H290" s="28" t="s">
        <v>86</v>
      </c>
      <c r="I290" s="28">
        <v>5100</v>
      </c>
      <c r="J290" s="28">
        <v>55000</v>
      </c>
      <c r="K290" s="28">
        <v>1650</v>
      </c>
      <c r="L290" s="28">
        <v>82</v>
      </c>
      <c r="M290" s="28">
        <v>0.05</v>
      </c>
      <c r="N290" s="28">
        <v>20625</v>
      </c>
      <c r="O290" s="28">
        <v>0.03</v>
      </c>
      <c r="P290" s="28">
        <v>3.09</v>
      </c>
      <c r="Q290" s="28">
        <v>3.04</v>
      </c>
      <c r="R290" s="26"/>
      <c r="S290" s="26"/>
      <c r="T290" s="26"/>
      <c r="U290" s="26"/>
    </row>
    <row r="291" spans="1:21" x14ac:dyDescent="0.3">
      <c r="A291" s="26"/>
      <c r="B291" s="29">
        <v>45537</v>
      </c>
      <c r="C291" s="28" t="s">
        <v>12</v>
      </c>
      <c r="D291" s="28" t="s">
        <v>69</v>
      </c>
      <c r="E291" s="28" t="s">
        <v>47</v>
      </c>
      <c r="F291" s="28" t="s">
        <v>45</v>
      </c>
      <c r="G291" s="28" t="s">
        <v>31</v>
      </c>
      <c r="H291" s="28" t="s">
        <v>86</v>
      </c>
      <c r="I291" s="28">
        <v>2150</v>
      </c>
      <c r="J291" s="28">
        <v>72000</v>
      </c>
      <c r="K291" s="28">
        <v>3600</v>
      </c>
      <c r="L291" s="28">
        <v>180</v>
      </c>
      <c r="M291" s="28">
        <v>0.05</v>
      </c>
      <c r="N291" s="28">
        <v>27000</v>
      </c>
      <c r="O291" s="28">
        <v>0.05</v>
      </c>
      <c r="P291" s="28">
        <v>0.6</v>
      </c>
      <c r="Q291" s="28">
        <v>11.56</v>
      </c>
      <c r="R291" s="26"/>
      <c r="S291" s="26"/>
      <c r="T291" s="26"/>
      <c r="U291" s="26"/>
    </row>
    <row r="292" spans="1:21" x14ac:dyDescent="0.3">
      <c r="A292" s="26"/>
      <c r="B292" s="29">
        <v>45544</v>
      </c>
      <c r="C292" s="28" t="s">
        <v>12</v>
      </c>
      <c r="D292" s="28" t="s">
        <v>76</v>
      </c>
      <c r="E292" s="28" t="s">
        <v>49</v>
      </c>
      <c r="F292" s="28" t="s">
        <v>41</v>
      </c>
      <c r="G292" s="28" t="s">
        <v>33</v>
      </c>
      <c r="H292" s="28" t="s">
        <v>86</v>
      </c>
      <c r="I292" s="28">
        <v>3300</v>
      </c>
      <c r="J292" s="28">
        <v>100000</v>
      </c>
      <c r="K292" s="28">
        <v>4000</v>
      </c>
      <c r="L292" s="28">
        <v>200</v>
      </c>
      <c r="M292" s="28">
        <v>0.05</v>
      </c>
      <c r="N292" s="28">
        <v>30000</v>
      </c>
      <c r="O292" s="28">
        <v>0.04</v>
      </c>
      <c r="P292" s="28">
        <v>0.82</v>
      </c>
      <c r="Q292" s="28">
        <v>8.09</v>
      </c>
      <c r="R292" s="26"/>
      <c r="S292" s="26"/>
      <c r="T292" s="26"/>
      <c r="U292" s="26"/>
    </row>
    <row r="293" spans="1:21" x14ac:dyDescent="0.3">
      <c r="A293" s="26"/>
      <c r="B293" s="29">
        <v>45551</v>
      </c>
      <c r="C293" s="28" t="s">
        <v>10</v>
      </c>
      <c r="D293" s="28" t="s">
        <v>69</v>
      </c>
      <c r="E293" s="28" t="s">
        <v>47</v>
      </c>
      <c r="F293" s="28" t="s">
        <v>34</v>
      </c>
      <c r="G293" s="28" t="s">
        <v>31</v>
      </c>
      <c r="H293" s="28" t="s">
        <v>86</v>
      </c>
      <c r="I293" s="28">
        <v>1950</v>
      </c>
      <c r="J293" s="28">
        <v>68000</v>
      </c>
      <c r="K293" s="28">
        <v>3400</v>
      </c>
      <c r="L293" s="28">
        <v>170</v>
      </c>
      <c r="M293" s="28">
        <v>0.05</v>
      </c>
      <c r="N293" s="28">
        <v>25500</v>
      </c>
      <c r="O293" s="28">
        <v>0.05</v>
      </c>
      <c r="P293" s="28">
        <v>0.56999999999999995</v>
      </c>
      <c r="Q293" s="28">
        <v>12.08</v>
      </c>
      <c r="R293" s="26"/>
      <c r="S293" s="26"/>
      <c r="T293" s="26"/>
      <c r="U293" s="26"/>
    </row>
    <row r="294" spans="1:21" x14ac:dyDescent="0.3">
      <c r="A294" s="26"/>
      <c r="B294" s="29">
        <v>45558</v>
      </c>
      <c r="C294" s="28" t="s">
        <v>13</v>
      </c>
      <c r="D294" s="28" t="s">
        <v>84</v>
      </c>
      <c r="E294" s="28" t="s">
        <v>48</v>
      </c>
      <c r="F294" s="28" t="s">
        <v>39</v>
      </c>
      <c r="G294" s="28" t="s">
        <v>32</v>
      </c>
      <c r="H294" s="28" t="s">
        <v>86</v>
      </c>
      <c r="I294" s="28">
        <v>3900</v>
      </c>
      <c r="J294" s="28">
        <v>120000</v>
      </c>
      <c r="K294" s="28">
        <v>4800</v>
      </c>
      <c r="L294" s="28">
        <v>240</v>
      </c>
      <c r="M294" s="28">
        <v>0.05</v>
      </c>
      <c r="N294" s="28">
        <v>36000</v>
      </c>
      <c r="O294" s="28">
        <v>0.04</v>
      </c>
      <c r="P294" s="28">
        <v>0.81</v>
      </c>
      <c r="Q294" s="28">
        <v>8.23</v>
      </c>
      <c r="R294" s="26"/>
      <c r="S294" s="26"/>
      <c r="T294" s="26"/>
      <c r="U294" s="26"/>
    </row>
    <row r="295" spans="1:21" x14ac:dyDescent="0.3">
      <c r="A295" s="26"/>
      <c r="B295" s="29">
        <v>45565</v>
      </c>
      <c r="C295" s="28" t="s">
        <v>12</v>
      </c>
      <c r="D295" s="28" t="s">
        <v>73</v>
      </c>
      <c r="E295" s="28" t="s">
        <v>47</v>
      </c>
      <c r="F295" s="28" t="s">
        <v>41</v>
      </c>
      <c r="G295" s="28" t="s">
        <v>30</v>
      </c>
      <c r="H295" s="28" t="s">
        <v>86</v>
      </c>
      <c r="I295" s="28">
        <v>5700</v>
      </c>
      <c r="J295" s="28">
        <v>60000</v>
      </c>
      <c r="K295" s="28">
        <v>1800</v>
      </c>
      <c r="L295" s="28">
        <v>90</v>
      </c>
      <c r="M295" s="28">
        <v>0.05</v>
      </c>
      <c r="N295" s="28">
        <v>22500</v>
      </c>
      <c r="O295" s="28">
        <v>0.03</v>
      </c>
      <c r="P295" s="28">
        <v>3.17</v>
      </c>
      <c r="Q295" s="28">
        <v>2.95</v>
      </c>
      <c r="R295" s="26"/>
      <c r="S295" s="26"/>
      <c r="T295" s="26"/>
      <c r="U295" s="26"/>
    </row>
    <row r="296" spans="1:21" x14ac:dyDescent="0.3">
      <c r="A296" s="26"/>
      <c r="B296" s="29">
        <v>45572</v>
      </c>
      <c r="C296" s="28" t="s">
        <v>10</v>
      </c>
      <c r="D296" s="28" t="s">
        <v>70</v>
      </c>
      <c r="E296" s="28" t="s">
        <v>49</v>
      </c>
      <c r="F296" s="28" t="s">
        <v>34</v>
      </c>
      <c r="G296" s="28" t="s">
        <v>31</v>
      </c>
      <c r="H296" s="28" t="s">
        <v>86</v>
      </c>
      <c r="I296" s="28">
        <v>2400</v>
      </c>
      <c r="J296" s="28">
        <v>76000</v>
      </c>
      <c r="K296" s="28">
        <v>3800</v>
      </c>
      <c r="L296" s="28">
        <v>190</v>
      </c>
      <c r="M296" s="28">
        <v>0.05</v>
      </c>
      <c r="N296" s="28">
        <v>28500</v>
      </c>
      <c r="O296" s="28">
        <v>0.05</v>
      </c>
      <c r="P296" s="28">
        <v>0.63</v>
      </c>
      <c r="Q296" s="28">
        <v>10.88</v>
      </c>
      <c r="R296" s="26"/>
      <c r="S296" s="26"/>
      <c r="T296" s="26"/>
      <c r="U296" s="26"/>
    </row>
    <row r="297" spans="1:21" x14ac:dyDescent="0.3">
      <c r="A297" s="26"/>
      <c r="B297" s="29">
        <v>45579</v>
      </c>
      <c r="C297" s="28" t="s">
        <v>12</v>
      </c>
      <c r="D297" s="28" t="s">
        <v>65</v>
      </c>
      <c r="E297" s="28" t="s">
        <v>47</v>
      </c>
      <c r="F297" s="28" t="s">
        <v>39</v>
      </c>
      <c r="G297" s="28" t="s">
        <v>33</v>
      </c>
      <c r="H297" s="28" t="s">
        <v>86</v>
      </c>
      <c r="I297" s="28">
        <v>3450</v>
      </c>
      <c r="J297" s="28">
        <v>103000</v>
      </c>
      <c r="K297" s="28">
        <v>4120</v>
      </c>
      <c r="L297" s="28">
        <v>206</v>
      </c>
      <c r="M297" s="28">
        <v>0.05</v>
      </c>
      <c r="N297" s="28">
        <v>30900</v>
      </c>
      <c r="O297" s="28">
        <v>0.04</v>
      </c>
      <c r="P297" s="28">
        <v>0.84</v>
      </c>
      <c r="Q297" s="28">
        <v>7.96</v>
      </c>
      <c r="R297" s="26"/>
      <c r="S297" s="26"/>
      <c r="T297" s="26"/>
      <c r="U297" s="26"/>
    </row>
    <row r="298" spans="1:21" x14ac:dyDescent="0.3">
      <c r="A298" s="26"/>
      <c r="B298" s="29">
        <v>45586</v>
      </c>
      <c r="C298" s="28" t="s">
        <v>11</v>
      </c>
      <c r="D298" s="28" t="s">
        <v>77</v>
      </c>
      <c r="E298" s="28" t="s">
        <v>49</v>
      </c>
      <c r="F298" s="28" t="s">
        <v>42</v>
      </c>
      <c r="G298" s="28" t="s">
        <v>31</v>
      </c>
      <c r="H298" s="28" t="s">
        <v>86</v>
      </c>
      <c r="I298" s="28">
        <v>2550</v>
      </c>
      <c r="J298" s="28">
        <v>78000</v>
      </c>
      <c r="K298" s="28">
        <v>3900</v>
      </c>
      <c r="L298" s="28">
        <v>195</v>
      </c>
      <c r="M298" s="28">
        <v>0.05</v>
      </c>
      <c r="N298" s="28">
        <v>29250</v>
      </c>
      <c r="O298" s="28">
        <v>0.05</v>
      </c>
      <c r="P298" s="28">
        <v>0.65</v>
      </c>
      <c r="Q298" s="28">
        <v>10.47</v>
      </c>
      <c r="R298" s="26"/>
      <c r="S298" s="26"/>
      <c r="T298" s="26"/>
      <c r="U298" s="26"/>
    </row>
    <row r="299" spans="1:21" x14ac:dyDescent="0.3">
      <c r="A299" s="26"/>
      <c r="B299" s="29">
        <v>45593</v>
      </c>
      <c r="C299" s="28" t="s">
        <v>13</v>
      </c>
      <c r="D299" s="28" t="s">
        <v>80</v>
      </c>
      <c r="E299" s="28" t="s">
        <v>48</v>
      </c>
      <c r="F299" s="28" t="s">
        <v>35</v>
      </c>
      <c r="G299" s="28" t="s">
        <v>32</v>
      </c>
      <c r="H299" s="28" t="s">
        <v>86</v>
      </c>
      <c r="I299" s="28">
        <v>2900</v>
      </c>
      <c r="J299" s="28">
        <v>93000</v>
      </c>
      <c r="K299" s="28">
        <v>3720</v>
      </c>
      <c r="L299" s="28">
        <v>186</v>
      </c>
      <c r="M299" s="28">
        <v>0.05</v>
      </c>
      <c r="N299" s="28">
        <v>27900</v>
      </c>
      <c r="O299" s="28">
        <v>0.04</v>
      </c>
      <c r="P299" s="28">
        <v>0.78</v>
      </c>
      <c r="Q299" s="28">
        <v>8.6199999999999992</v>
      </c>
      <c r="R299" s="26"/>
      <c r="S299" s="26"/>
      <c r="T299" s="26"/>
      <c r="U299" s="26"/>
    </row>
    <row r="300" spans="1:21" x14ac:dyDescent="0.3">
      <c r="A300" s="26"/>
      <c r="B300" s="29">
        <v>45600</v>
      </c>
      <c r="C300" s="28" t="s">
        <v>12</v>
      </c>
      <c r="D300" s="28" t="s">
        <v>71</v>
      </c>
      <c r="E300" s="28" t="s">
        <v>48</v>
      </c>
      <c r="F300" s="28" t="s">
        <v>45</v>
      </c>
      <c r="G300" s="28" t="s">
        <v>30</v>
      </c>
      <c r="H300" s="28" t="s">
        <v>86</v>
      </c>
      <c r="I300" s="28">
        <v>5300</v>
      </c>
      <c r="J300" s="28">
        <v>57000</v>
      </c>
      <c r="K300" s="28">
        <v>1710</v>
      </c>
      <c r="L300" s="28">
        <v>86</v>
      </c>
      <c r="M300" s="28">
        <v>0.05</v>
      </c>
      <c r="N300" s="28">
        <v>21375</v>
      </c>
      <c r="O300" s="28">
        <v>0.03</v>
      </c>
      <c r="P300" s="28">
        <v>3.1</v>
      </c>
      <c r="Q300" s="28">
        <v>3.03</v>
      </c>
      <c r="R300" s="26"/>
      <c r="S300" s="26"/>
      <c r="T300" s="26"/>
      <c r="U300" s="26"/>
    </row>
    <row r="301" spans="1:21" x14ac:dyDescent="0.3">
      <c r="A301" s="26"/>
      <c r="B301" s="29">
        <v>45607</v>
      </c>
      <c r="C301" s="28" t="s">
        <v>11</v>
      </c>
      <c r="D301" s="28" t="s">
        <v>76</v>
      </c>
      <c r="E301" s="28" t="s">
        <v>49</v>
      </c>
      <c r="F301" s="28" t="s">
        <v>41</v>
      </c>
      <c r="G301" s="28" t="s">
        <v>31</v>
      </c>
      <c r="H301" s="28" t="s">
        <v>86</v>
      </c>
      <c r="I301" s="28">
        <v>2050</v>
      </c>
      <c r="J301" s="28">
        <v>71000</v>
      </c>
      <c r="K301" s="28">
        <v>3550</v>
      </c>
      <c r="L301" s="28">
        <v>178</v>
      </c>
      <c r="M301" s="28">
        <v>0.05</v>
      </c>
      <c r="N301" s="28">
        <v>26625</v>
      </c>
      <c r="O301" s="28">
        <v>0.05</v>
      </c>
      <c r="P301" s="28">
        <v>0.57999999999999996</v>
      </c>
      <c r="Q301" s="28">
        <v>11.99</v>
      </c>
      <c r="R301" s="26"/>
      <c r="S301" s="26"/>
      <c r="T301" s="26"/>
      <c r="U301" s="26"/>
    </row>
    <row r="302" spans="1:21" x14ac:dyDescent="0.3">
      <c r="A302" s="26"/>
      <c r="B302" s="29">
        <v>45614</v>
      </c>
      <c r="C302" s="28" t="s">
        <v>10</v>
      </c>
      <c r="D302" s="28" t="s">
        <v>66</v>
      </c>
      <c r="E302" s="28" t="s">
        <v>48</v>
      </c>
      <c r="F302" s="28" t="s">
        <v>40</v>
      </c>
      <c r="G302" s="28" t="s">
        <v>33</v>
      </c>
      <c r="H302" s="28" t="s">
        <v>86</v>
      </c>
      <c r="I302" s="28">
        <v>3400</v>
      </c>
      <c r="J302" s="28">
        <v>102000</v>
      </c>
      <c r="K302" s="28">
        <v>4080</v>
      </c>
      <c r="L302" s="28">
        <v>204</v>
      </c>
      <c r="M302" s="28">
        <v>0.05</v>
      </c>
      <c r="N302" s="28">
        <v>30600</v>
      </c>
      <c r="O302" s="28">
        <v>0.04</v>
      </c>
      <c r="P302" s="28">
        <v>0.83</v>
      </c>
      <c r="Q302" s="28">
        <v>8</v>
      </c>
      <c r="R302" s="26"/>
      <c r="S302" s="26"/>
      <c r="T302" s="26"/>
      <c r="U302" s="26"/>
    </row>
    <row r="303" spans="1:21" x14ac:dyDescent="0.3">
      <c r="A303" s="26"/>
      <c r="B303" s="29">
        <v>45621</v>
      </c>
      <c r="C303" s="28" t="s">
        <v>10</v>
      </c>
      <c r="D303" s="28" t="s">
        <v>73</v>
      </c>
      <c r="E303" s="28" t="s">
        <v>47</v>
      </c>
      <c r="F303" s="28" t="s">
        <v>42</v>
      </c>
      <c r="G303" s="28" t="s">
        <v>31</v>
      </c>
      <c r="H303" s="28" t="s">
        <v>86</v>
      </c>
      <c r="I303" s="28">
        <v>2250</v>
      </c>
      <c r="J303" s="28">
        <v>74000</v>
      </c>
      <c r="K303" s="28">
        <v>3700</v>
      </c>
      <c r="L303" s="28">
        <v>185</v>
      </c>
      <c r="M303" s="28">
        <v>0.05</v>
      </c>
      <c r="N303" s="28">
        <v>27750</v>
      </c>
      <c r="O303" s="28">
        <v>0.05</v>
      </c>
      <c r="P303" s="28">
        <v>0.61</v>
      </c>
      <c r="Q303" s="28">
        <v>11.33</v>
      </c>
      <c r="R303" s="26"/>
      <c r="S303" s="26"/>
      <c r="T303" s="26"/>
      <c r="U303" s="26"/>
    </row>
    <row r="304" spans="1:21" x14ac:dyDescent="0.3">
      <c r="A304" s="26"/>
      <c r="B304" s="29">
        <v>45468</v>
      </c>
      <c r="C304" s="28" t="s">
        <v>11</v>
      </c>
      <c r="D304" s="28" t="s">
        <v>67</v>
      </c>
      <c r="E304" s="28" t="s">
        <v>48</v>
      </c>
      <c r="F304" s="28" t="s">
        <v>44</v>
      </c>
      <c r="G304" s="28" t="s">
        <v>32</v>
      </c>
      <c r="H304" s="28" t="s">
        <v>87</v>
      </c>
      <c r="I304" s="28">
        <v>3800</v>
      </c>
      <c r="J304" s="28">
        <v>118000</v>
      </c>
      <c r="K304" s="28">
        <v>4720</v>
      </c>
      <c r="L304" s="28">
        <v>236</v>
      </c>
      <c r="M304" s="28">
        <v>0.05</v>
      </c>
      <c r="N304" s="28">
        <v>35400</v>
      </c>
      <c r="O304" s="28">
        <v>0.04</v>
      </c>
      <c r="P304" s="28">
        <v>0.81</v>
      </c>
      <c r="Q304" s="28">
        <v>8.32</v>
      </c>
      <c r="R304" s="26"/>
      <c r="S304" s="26"/>
      <c r="T304" s="26"/>
      <c r="U304" s="26"/>
    </row>
    <row r="305" spans="1:21" x14ac:dyDescent="0.3">
      <c r="A305" s="26"/>
      <c r="B305" s="29">
        <v>45475</v>
      </c>
      <c r="C305" s="28" t="s">
        <v>11</v>
      </c>
      <c r="D305" s="28" t="s">
        <v>80</v>
      </c>
      <c r="E305" s="28" t="s">
        <v>48</v>
      </c>
      <c r="F305" s="28" t="s">
        <v>40</v>
      </c>
      <c r="G305" s="28" t="s">
        <v>30</v>
      </c>
      <c r="H305" s="28" t="s">
        <v>87</v>
      </c>
      <c r="I305" s="28">
        <v>5600</v>
      </c>
      <c r="J305" s="28">
        <v>59000</v>
      </c>
      <c r="K305" s="28">
        <v>1770</v>
      </c>
      <c r="L305" s="28">
        <v>88</v>
      </c>
      <c r="M305" s="28">
        <v>0.05</v>
      </c>
      <c r="N305" s="28">
        <v>22125</v>
      </c>
      <c r="O305" s="28">
        <v>0.03</v>
      </c>
      <c r="P305" s="28">
        <v>3.16</v>
      </c>
      <c r="Q305" s="28">
        <v>2.95</v>
      </c>
      <c r="R305" s="26"/>
      <c r="S305" s="26"/>
      <c r="T305" s="26"/>
      <c r="U305" s="26"/>
    </row>
    <row r="306" spans="1:21" x14ac:dyDescent="0.3">
      <c r="A306" s="26"/>
      <c r="B306" s="29">
        <v>45482</v>
      </c>
      <c r="C306" s="28" t="s">
        <v>12</v>
      </c>
      <c r="D306" s="28" t="s">
        <v>82</v>
      </c>
      <c r="E306" s="28" t="s">
        <v>47</v>
      </c>
      <c r="F306" s="28" t="s">
        <v>34</v>
      </c>
      <c r="G306" s="28" t="s">
        <v>31</v>
      </c>
      <c r="H306" s="28" t="s">
        <v>87</v>
      </c>
      <c r="I306" s="28">
        <v>2450</v>
      </c>
      <c r="J306" s="28">
        <v>77000</v>
      </c>
      <c r="K306" s="28">
        <v>3850</v>
      </c>
      <c r="L306" s="28">
        <v>192</v>
      </c>
      <c r="M306" s="28">
        <v>0.05</v>
      </c>
      <c r="N306" s="28">
        <v>28875</v>
      </c>
      <c r="O306" s="28">
        <v>0.05</v>
      </c>
      <c r="P306" s="28">
        <v>0.64</v>
      </c>
      <c r="Q306" s="28">
        <v>10.79</v>
      </c>
      <c r="R306" s="26"/>
      <c r="S306" s="26"/>
      <c r="T306" s="26"/>
      <c r="U306" s="26"/>
    </row>
    <row r="307" spans="1:21" x14ac:dyDescent="0.3">
      <c r="A307" s="26"/>
      <c r="B307" s="29">
        <v>45489</v>
      </c>
      <c r="C307" s="28" t="s">
        <v>10</v>
      </c>
      <c r="D307" s="28" t="s">
        <v>81</v>
      </c>
      <c r="E307" s="28" t="s">
        <v>48</v>
      </c>
      <c r="F307" s="28" t="s">
        <v>41</v>
      </c>
      <c r="G307" s="28" t="s">
        <v>33</v>
      </c>
      <c r="H307" s="28" t="s">
        <v>87</v>
      </c>
      <c r="I307" s="28">
        <v>3150</v>
      </c>
      <c r="J307" s="28">
        <v>97000</v>
      </c>
      <c r="K307" s="28">
        <v>3880</v>
      </c>
      <c r="L307" s="28">
        <v>194</v>
      </c>
      <c r="M307" s="28">
        <v>0.05</v>
      </c>
      <c r="N307" s="28">
        <v>29100</v>
      </c>
      <c r="O307" s="28">
        <v>0.04</v>
      </c>
      <c r="P307" s="28">
        <v>0.81</v>
      </c>
      <c r="Q307" s="28">
        <v>8.24</v>
      </c>
      <c r="R307" s="26"/>
      <c r="S307" s="26"/>
      <c r="T307" s="26"/>
      <c r="U307" s="26"/>
    </row>
    <row r="308" spans="1:21" x14ac:dyDescent="0.3">
      <c r="A308" s="26"/>
      <c r="B308" s="29">
        <v>45496</v>
      </c>
      <c r="C308" s="28" t="s">
        <v>12</v>
      </c>
      <c r="D308" s="28" t="s">
        <v>83</v>
      </c>
      <c r="E308" s="28" t="s">
        <v>49</v>
      </c>
      <c r="F308" s="28" t="s">
        <v>42</v>
      </c>
      <c r="G308" s="28" t="s">
        <v>31</v>
      </c>
      <c r="H308" s="28" t="s">
        <v>87</v>
      </c>
      <c r="I308" s="28">
        <v>2300</v>
      </c>
      <c r="J308" s="28">
        <v>75000</v>
      </c>
      <c r="K308" s="28">
        <v>3750</v>
      </c>
      <c r="L308" s="28">
        <v>188</v>
      </c>
      <c r="M308" s="28">
        <v>0.05</v>
      </c>
      <c r="N308" s="28">
        <v>28125</v>
      </c>
      <c r="O308" s="28">
        <v>0.05</v>
      </c>
      <c r="P308" s="28">
        <v>0.61</v>
      </c>
      <c r="Q308" s="28">
        <v>11.23</v>
      </c>
      <c r="R308" s="26"/>
      <c r="S308" s="26"/>
      <c r="T308" s="26"/>
      <c r="U308" s="26"/>
    </row>
    <row r="309" spans="1:21" x14ac:dyDescent="0.3">
      <c r="A309" s="26"/>
      <c r="B309" s="29">
        <v>45503</v>
      </c>
      <c r="C309" s="28" t="s">
        <v>12</v>
      </c>
      <c r="D309" s="28" t="s">
        <v>81</v>
      </c>
      <c r="E309" s="28" t="s">
        <v>48</v>
      </c>
      <c r="F309" s="28" t="s">
        <v>39</v>
      </c>
      <c r="G309" s="28" t="s">
        <v>32</v>
      </c>
      <c r="H309" s="28" t="s">
        <v>87</v>
      </c>
      <c r="I309" s="28">
        <v>3700</v>
      </c>
      <c r="J309" s="28">
        <v>115000</v>
      </c>
      <c r="K309" s="28">
        <v>4600</v>
      </c>
      <c r="L309" s="28">
        <v>230</v>
      </c>
      <c r="M309" s="28">
        <v>0.05</v>
      </c>
      <c r="N309" s="28">
        <v>34500</v>
      </c>
      <c r="O309" s="28">
        <v>0.04</v>
      </c>
      <c r="P309" s="28">
        <v>0.8</v>
      </c>
      <c r="Q309" s="28">
        <v>8.32</v>
      </c>
      <c r="R309" s="26"/>
      <c r="S309" s="26"/>
      <c r="T309" s="26"/>
      <c r="U309" s="26"/>
    </row>
    <row r="310" spans="1:21" x14ac:dyDescent="0.3">
      <c r="A310" s="26"/>
      <c r="B310" s="29">
        <v>45510</v>
      </c>
      <c r="C310" s="28" t="s">
        <v>10</v>
      </c>
      <c r="D310" s="28" t="s">
        <v>81</v>
      </c>
      <c r="E310" s="28" t="s">
        <v>48</v>
      </c>
      <c r="F310" s="28" t="s">
        <v>35</v>
      </c>
      <c r="G310" s="28" t="s">
        <v>30</v>
      </c>
      <c r="H310" s="28" t="s">
        <v>87</v>
      </c>
      <c r="I310" s="28">
        <v>5500</v>
      </c>
      <c r="J310" s="28">
        <v>59000</v>
      </c>
      <c r="K310" s="28">
        <v>1770</v>
      </c>
      <c r="L310" s="28">
        <v>88</v>
      </c>
      <c r="M310" s="28">
        <v>0.05</v>
      </c>
      <c r="N310" s="28">
        <v>22125</v>
      </c>
      <c r="O310" s="28">
        <v>0.03</v>
      </c>
      <c r="P310" s="28">
        <v>3.11</v>
      </c>
      <c r="Q310" s="28">
        <v>3.02</v>
      </c>
      <c r="R310" s="26"/>
      <c r="S310" s="26"/>
      <c r="T310" s="26"/>
      <c r="U310" s="26"/>
    </row>
    <row r="311" spans="1:21" x14ac:dyDescent="0.3">
      <c r="A311" s="26"/>
      <c r="B311" s="29">
        <v>45517</v>
      </c>
      <c r="C311" s="28" t="s">
        <v>13</v>
      </c>
      <c r="D311" s="28" t="s">
        <v>68</v>
      </c>
      <c r="E311" s="28" t="s">
        <v>47</v>
      </c>
      <c r="F311" s="28" t="s">
        <v>42</v>
      </c>
      <c r="G311" s="28" t="s">
        <v>31</v>
      </c>
      <c r="H311" s="28" t="s">
        <v>87</v>
      </c>
      <c r="I311" s="28">
        <v>2350</v>
      </c>
      <c r="J311" s="28">
        <v>76000</v>
      </c>
      <c r="K311" s="28">
        <v>3800</v>
      </c>
      <c r="L311" s="28">
        <v>190</v>
      </c>
      <c r="M311" s="28">
        <v>0.05</v>
      </c>
      <c r="N311" s="28">
        <v>28500</v>
      </c>
      <c r="O311" s="28">
        <v>0.05</v>
      </c>
      <c r="P311" s="28">
        <v>0.62</v>
      </c>
      <c r="Q311" s="28">
        <v>11.13</v>
      </c>
      <c r="R311" s="26"/>
      <c r="S311" s="26"/>
      <c r="T311" s="26"/>
      <c r="U311" s="26"/>
    </row>
    <row r="312" spans="1:21" x14ac:dyDescent="0.3">
      <c r="A312" s="26"/>
      <c r="B312" s="29">
        <v>45524</v>
      </c>
      <c r="C312" s="28" t="s">
        <v>12</v>
      </c>
      <c r="D312" s="28" t="s">
        <v>73</v>
      </c>
      <c r="E312" s="28" t="s">
        <v>47</v>
      </c>
      <c r="F312" s="28" t="s">
        <v>34</v>
      </c>
      <c r="G312" s="28" t="s">
        <v>33</v>
      </c>
      <c r="H312" s="28" t="s">
        <v>87</v>
      </c>
      <c r="I312" s="28">
        <v>3350</v>
      </c>
      <c r="J312" s="28">
        <v>101000</v>
      </c>
      <c r="K312" s="28">
        <v>4040</v>
      </c>
      <c r="L312" s="28">
        <v>202</v>
      </c>
      <c r="M312" s="28">
        <v>0.05</v>
      </c>
      <c r="N312" s="28">
        <v>30300</v>
      </c>
      <c r="O312" s="28">
        <v>0.04</v>
      </c>
      <c r="P312" s="28">
        <v>0.83</v>
      </c>
      <c r="Q312" s="28">
        <v>8.0399999999999991</v>
      </c>
      <c r="R312" s="26"/>
      <c r="S312" s="26"/>
      <c r="T312" s="26"/>
      <c r="U312" s="26"/>
    </row>
    <row r="313" spans="1:21" x14ac:dyDescent="0.3">
      <c r="A313" s="26"/>
      <c r="B313" s="29">
        <v>45531</v>
      </c>
      <c r="C313" s="28" t="s">
        <v>12</v>
      </c>
      <c r="D313" s="28" t="s">
        <v>69</v>
      </c>
      <c r="E313" s="28" t="s">
        <v>47</v>
      </c>
      <c r="F313" s="28" t="s">
        <v>38</v>
      </c>
      <c r="G313" s="28" t="s">
        <v>31</v>
      </c>
      <c r="H313" s="28" t="s">
        <v>87</v>
      </c>
      <c r="I313" s="28">
        <v>2100</v>
      </c>
      <c r="J313" s="28">
        <v>72000</v>
      </c>
      <c r="K313" s="28">
        <v>3600</v>
      </c>
      <c r="L313" s="28">
        <v>180</v>
      </c>
      <c r="M313" s="28">
        <v>0.05</v>
      </c>
      <c r="N313" s="28">
        <v>27000</v>
      </c>
      <c r="O313" s="28">
        <v>0.05</v>
      </c>
      <c r="P313" s="28">
        <v>0.57999999999999996</v>
      </c>
      <c r="Q313" s="28">
        <v>11.86</v>
      </c>
      <c r="R313" s="26"/>
      <c r="S313" s="26"/>
      <c r="T313" s="26"/>
      <c r="U313" s="26"/>
    </row>
    <row r="314" spans="1:21" x14ac:dyDescent="0.3">
      <c r="A314" s="26"/>
      <c r="B314" s="29">
        <v>45538</v>
      </c>
      <c r="C314" s="28" t="s">
        <v>13</v>
      </c>
      <c r="D314" s="28" t="s">
        <v>69</v>
      </c>
      <c r="E314" s="28" t="s">
        <v>47</v>
      </c>
      <c r="F314" s="28" t="s">
        <v>44</v>
      </c>
      <c r="G314" s="28" t="s">
        <v>32</v>
      </c>
      <c r="H314" s="28" t="s">
        <v>88</v>
      </c>
      <c r="I314" s="28">
        <v>4000</v>
      </c>
      <c r="J314" s="28">
        <v>123000</v>
      </c>
      <c r="K314" s="28">
        <v>4920</v>
      </c>
      <c r="L314" s="28">
        <v>246</v>
      </c>
      <c r="M314" s="28">
        <v>0.05</v>
      </c>
      <c r="N314" s="28">
        <v>36900</v>
      </c>
      <c r="O314" s="28">
        <v>0.04</v>
      </c>
      <c r="P314" s="28">
        <v>0.81</v>
      </c>
      <c r="Q314" s="28">
        <v>8.23</v>
      </c>
      <c r="R314" s="26"/>
      <c r="S314" s="26"/>
      <c r="T314" s="26"/>
      <c r="U314" s="26"/>
    </row>
    <row r="315" spans="1:21" x14ac:dyDescent="0.3">
      <c r="A315" s="26"/>
      <c r="B315" s="29">
        <v>45545</v>
      </c>
      <c r="C315" s="28" t="s">
        <v>12</v>
      </c>
      <c r="D315" s="28" t="s">
        <v>68</v>
      </c>
      <c r="E315" s="28" t="s">
        <v>47</v>
      </c>
      <c r="F315" s="28" t="s">
        <v>41</v>
      </c>
      <c r="G315" s="28" t="s">
        <v>30</v>
      </c>
      <c r="H315" s="28" t="s">
        <v>88</v>
      </c>
      <c r="I315" s="28">
        <v>5900</v>
      </c>
      <c r="J315" s="28">
        <v>62000</v>
      </c>
      <c r="K315" s="28">
        <v>1860</v>
      </c>
      <c r="L315" s="28">
        <v>93</v>
      </c>
      <c r="M315" s="28">
        <v>0.05</v>
      </c>
      <c r="N315" s="28">
        <v>23250</v>
      </c>
      <c r="O315" s="28">
        <v>0.03</v>
      </c>
      <c r="P315" s="28">
        <v>3.17</v>
      </c>
      <c r="Q315" s="28">
        <v>2.94</v>
      </c>
      <c r="R315" s="26"/>
      <c r="S315" s="26"/>
      <c r="T315" s="26"/>
      <c r="U315" s="26"/>
    </row>
    <row r="316" spans="1:21" x14ac:dyDescent="0.3">
      <c r="A316" s="26"/>
      <c r="B316" s="29">
        <v>45552</v>
      </c>
      <c r="C316" s="28" t="s">
        <v>13</v>
      </c>
      <c r="D316" s="28" t="s">
        <v>81</v>
      </c>
      <c r="E316" s="28" t="s">
        <v>48</v>
      </c>
      <c r="F316" s="28" t="s">
        <v>44</v>
      </c>
      <c r="G316" s="28" t="s">
        <v>31</v>
      </c>
      <c r="H316" s="28" t="s">
        <v>88</v>
      </c>
      <c r="I316" s="28">
        <v>2500</v>
      </c>
      <c r="J316" s="28">
        <v>79000</v>
      </c>
      <c r="K316" s="28">
        <v>3950</v>
      </c>
      <c r="L316" s="28">
        <v>198</v>
      </c>
      <c r="M316" s="28">
        <v>0.05</v>
      </c>
      <c r="N316" s="28">
        <v>29625</v>
      </c>
      <c r="O316" s="28">
        <v>0.05</v>
      </c>
      <c r="P316" s="28">
        <v>0.63</v>
      </c>
      <c r="Q316" s="28">
        <v>10.85</v>
      </c>
      <c r="R316" s="26"/>
      <c r="S316" s="26"/>
      <c r="T316" s="26"/>
      <c r="U316" s="26"/>
    </row>
    <row r="317" spans="1:21" x14ac:dyDescent="0.3">
      <c r="A317" s="26"/>
      <c r="B317" s="29">
        <v>45559</v>
      </c>
      <c r="C317" s="28" t="s">
        <v>12</v>
      </c>
      <c r="D317" s="28" t="s">
        <v>66</v>
      </c>
      <c r="E317" s="28" t="s">
        <v>48</v>
      </c>
      <c r="F317" s="28" t="s">
        <v>39</v>
      </c>
      <c r="G317" s="28" t="s">
        <v>33</v>
      </c>
      <c r="H317" s="28" t="s">
        <v>88</v>
      </c>
      <c r="I317" s="28">
        <v>3550</v>
      </c>
      <c r="J317" s="28">
        <v>107000</v>
      </c>
      <c r="K317" s="28">
        <v>4280</v>
      </c>
      <c r="L317" s="28">
        <v>214</v>
      </c>
      <c r="M317" s="28">
        <v>0.05</v>
      </c>
      <c r="N317" s="28">
        <v>32100</v>
      </c>
      <c r="O317" s="28">
        <v>0.04</v>
      </c>
      <c r="P317" s="28">
        <v>0.83</v>
      </c>
      <c r="Q317" s="28">
        <v>8.0399999999999991</v>
      </c>
      <c r="R317" s="26"/>
      <c r="S317" s="26"/>
      <c r="T317" s="26"/>
      <c r="U317" s="26"/>
    </row>
    <row r="318" spans="1:21" x14ac:dyDescent="0.3">
      <c r="A318" s="26"/>
      <c r="B318" s="29">
        <v>45566</v>
      </c>
      <c r="C318" s="28" t="s">
        <v>13</v>
      </c>
      <c r="D318" s="28" t="s">
        <v>83</v>
      </c>
      <c r="E318" s="28" t="s">
        <v>49</v>
      </c>
      <c r="F318" s="28" t="s">
        <v>45</v>
      </c>
      <c r="G318" s="28" t="s">
        <v>31</v>
      </c>
      <c r="H318" s="28" t="s">
        <v>88</v>
      </c>
      <c r="I318" s="28">
        <v>2650</v>
      </c>
      <c r="J318" s="28">
        <v>81000</v>
      </c>
      <c r="K318" s="28">
        <v>4050</v>
      </c>
      <c r="L318" s="28">
        <v>202</v>
      </c>
      <c r="M318" s="28">
        <v>0.05</v>
      </c>
      <c r="N318" s="28">
        <v>30375</v>
      </c>
      <c r="O318" s="28">
        <v>0.05</v>
      </c>
      <c r="P318" s="28">
        <v>0.65</v>
      </c>
      <c r="Q318" s="28">
        <v>10.46</v>
      </c>
      <c r="R318" s="26"/>
      <c r="S318" s="26"/>
      <c r="T318" s="26"/>
      <c r="U318" s="26"/>
    </row>
    <row r="319" spans="1:21" x14ac:dyDescent="0.3">
      <c r="A319" s="26"/>
      <c r="B319" s="29">
        <v>45573</v>
      </c>
      <c r="C319" s="28" t="s">
        <v>10</v>
      </c>
      <c r="D319" s="28" t="s">
        <v>84</v>
      </c>
      <c r="E319" s="28" t="s">
        <v>48</v>
      </c>
      <c r="F319" s="28" t="s">
        <v>45</v>
      </c>
      <c r="G319" s="28" t="s">
        <v>32</v>
      </c>
      <c r="H319" s="28" t="s">
        <v>88</v>
      </c>
      <c r="I319" s="28">
        <v>3050</v>
      </c>
      <c r="J319" s="28">
        <v>96000</v>
      </c>
      <c r="K319" s="28">
        <v>3840</v>
      </c>
      <c r="L319" s="28">
        <v>192</v>
      </c>
      <c r="M319" s="28">
        <v>0.05</v>
      </c>
      <c r="N319" s="28">
        <v>28800</v>
      </c>
      <c r="O319" s="28">
        <v>0.04</v>
      </c>
      <c r="P319" s="28">
        <v>0.79</v>
      </c>
      <c r="Q319" s="28">
        <v>8.44</v>
      </c>
      <c r="R319" s="26"/>
      <c r="S319" s="26"/>
      <c r="T319" s="26"/>
      <c r="U319" s="26"/>
    </row>
    <row r="320" spans="1:21" x14ac:dyDescent="0.3">
      <c r="A320" s="26"/>
      <c r="B320" s="29">
        <v>45580</v>
      </c>
      <c r="C320" s="28" t="s">
        <v>11</v>
      </c>
      <c r="D320" s="28" t="s">
        <v>67</v>
      </c>
      <c r="E320" s="28" t="s">
        <v>48</v>
      </c>
      <c r="F320" s="28" t="s">
        <v>41</v>
      </c>
      <c r="G320" s="28" t="s">
        <v>30</v>
      </c>
      <c r="H320" s="28" t="s">
        <v>88</v>
      </c>
      <c r="I320" s="28">
        <v>5400</v>
      </c>
      <c r="J320" s="28">
        <v>58000</v>
      </c>
      <c r="K320" s="28">
        <v>1740</v>
      </c>
      <c r="L320" s="28">
        <v>87</v>
      </c>
      <c r="M320" s="28">
        <v>0.05</v>
      </c>
      <c r="N320" s="28">
        <v>21750</v>
      </c>
      <c r="O320" s="28">
        <v>0.03</v>
      </c>
      <c r="P320" s="28">
        <v>3.1</v>
      </c>
      <c r="Q320" s="28">
        <v>3.03</v>
      </c>
      <c r="R320" s="26"/>
      <c r="S320" s="26"/>
      <c r="T320" s="26"/>
      <c r="U320" s="26"/>
    </row>
    <row r="321" spans="1:21" x14ac:dyDescent="0.3">
      <c r="A321" s="26"/>
      <c r="B321" s="29">
        <v>45587</v>
      </c>
      <c r="C321" s="28" t="s">
        <v>12</v>
      </c>
      <c r="D321" s="28" t="s">
        <v>75</v>
      </c>
      <c r="E321" s="28" t="s">
        <v>47</v>
      </c>
      <c r="F321" s="28" t="s">
        <v>45</v>
      </c>
      <c r="G321" s="28" t="s">
        <v>31</v>
      </c>
      <c r="H321" s="28" t="s">
        <v>88</v>
      </c>
      <c r="I321" s="28">
        <v>2250</v>
      </c>
      <c r="J321" s="28">
        <v>74000</v>
      </c>
      <c r="K321" s="28">
        <v>3700</v>
      </c>
      <c r="L321" s="28">
        <v>185</v>
      </c>
      <c r="M321" s="28">
        <v>0.05</v>
      </c>
      <c r="N321" s="28">
        <v>27750</v>
      </c>
      <c r="O321" s="28">
        <v>0.05</v>
      </c>
      <c r="P321" s="28">
        <v>0.61</v>
      </c>
      <c r="Q321" s="28">
        <v>11.33</v>
      </c>
      <c r="R321" s="26"/>
      <c r="S321" s="26"/>
      <c r="T321" s="26"/>
      <c r="U321" s="26"/>
    </row>
    <row r="322" spans="1:21" x14ac:dyDescent="0.3">
      <c r="A322" s="26"/>
      <c r="B322" s="29">
        <v>45594</v>
      </c>
      <c r="C322" s="28" t="s">
        <v>11</v>
      </c>
      <c r="D322" s="28" t="s">
        <v>82</v>
      </c>
      <c r="E322" s="28" t="s">
        <v>47</v>
      </c>
      <c r="F322" s="28" t="s">
        <v>39</v>
      </c>
      <c r="G322" s="28" t="s">
        <v>33</v>
      </c>
      <c r="H322" s="28" t="s">
        <v>88</v>
      </c>
      <c r="I322" s="28">
        <v>3450</v>
      </c>
      <c r="J322" s="28">
        <v>104000</v>
      </c>
      <c r="K322" s="28">
        <v>4160</v>
      </c>
      <c r="L322" s="28">
        <v>208</v>
      </c>
      <c r="M322" s="28">
        <v>0.05</v>
      </c>
      <c r="N322" s="28">
        <v>31200</v>
      </c>
      <c r="O322" s="28">
        <v>0.04</v>
      </c>
      <c r="P322" s="28">
        <v>0.83</v>
      </c>
      <c r="Q322" s="28">
        <v>8.0399999999999991</v>
      </c>
      <c r="R322" s="26"/>
      <c r="S322" s="26"/>
      <c r="T322" s="26"/>
      <c r="U322" s="26"/>
    </row>
    <row r="323" spans="1:21" x14ac:dyDescent="0.3">
      <c r="A323" s="26"/>
      <c r="B323" s="29">
        <v>45601</v>
      </c>
      <c r="C323" s="28" t="s">
        <v>12</v>
      </c>
      <c r="D323" s="28" t="s">
        <v>82</v>
      </c>
      <c r="E323" s="28" t="s">
        <v>47</v>
      </c>
      <c r="F323" s="28" t="s">
        <v>44</v>
      </c>
      <c r="G323" s="28" t="s">
        <v>31</v>
      </c>
      <c r="H323" s="28" t="s">
        <v>88</v>
      </c>
      <c r="I323" s="28">
        <v>2550</v>
      </c>
      <c r="J323" s="28">
        <v>79000</v>
      </c>
      <c r="K323" s="28">
        <v>3950</v>
      </c>
      <c r="L323" s="28">
        <v>198</v>
      </c>
      <c r="M323" s="28">
        <v>0.05</v>
      </c>
      <c r="N323" s="28">
        <v>29625</v>
      </c>
      <c r="O323" s="28">
        <v>0.05</v>
      </c>
      <c r="P323" s="28">
        <v>0.65</v>
      </c>
      <c r="Q323" s="28">
        <v>10.62</v>
      </c>
      <c r="R323" s="26"/>
      <c r="S323" s="26"/>
      <c r="T323" s="26"/>
      <c r="U323" s="26"/>
    </row>
    <row r="324" spans="1:21" x14ac:dyDescent="0.3">
      <c r="A324" s="26"/>
      <c r="B324" s="29">
        <v>45608</v>
      </c>
      <c r="C324" s="28" t="s">
        <v>12</v>
      </c>
      <c r="D324" s="28" t="s">
        <v>68</v>
      </c>
      <c r="E324" s="28" t="s">
        <v>47</v>
      </c>
      <c r="F324" s="28" t="s">
        <v>41</v>
      </c>
      <c r="G324" s="28" t="s">
        <v>32</v>
      </c>
      <c r="H324" s="28" t="s">
        <v>88</v>
      </c>
      <c r="I324" s="28">
        <v>3850</v>
      </c>
      <c r="J324" s="28">
        <v>120000</v>
      </c>
      <c r="K324" s="28">
        <v>4800</v>
      </c>
      <c r="L324" s="28">
        <v>240</v>
      </c>
      <c r="M324" s="28">
        <v>0.05</v>
      </c>
      <c r="N324" s="28">
        <v>36000</v>
      </c>
      <c r="O324" s="28">
        <v>0.04</v>
      </c>
      <c r="P324" s="28">
        <v>0.8</v>
      </c>
      <c r="Q324" s="28">
        <v>8.35</v>
      </c>
      <c r="R324" s="26"/>
      <c r="S324" s="26"/>
      <c r="T324" s="26"/>
      <c r="U324" s="26"/>
    </row>
    <row r="325" spans="1:21" x14ac:dyDescent="0.3">
      <c r="A325" s="26"/>
      <c r="B325" s="29">
        <v>45615</v>
      </c>
      <c r="C325" s="28" t="s">
        <v>11</v>
      </c>
      <c r="D325" s="28" t="s">
        <v>75</v>
      </c>
      <c r="E325" s="28" t="s">
        <v>47</v>
      </c>
      <c r="F325" s="28" t="s">
        <v>44</v>
      </c>
      <c r="G325" s="28" t="s">
        <v>30</v>
      </c>
      <c r="H325" s="28" t="s">
        <v>88</v>
      </c>
      <c r="I325" s="28">
        <v>5700</v>
      </c>
      <c r="J325" s="28">
        <v>61000</v>
      </c>
      <c r="K325" s="28">
        <v>1830</v>
      </c>
      <c r="L325" s="28">
        <v>92</v>
      </c>
      <c r="M325" s="28">
        <v>0.05</v>
      </c>
      <c r="N325" s="28">
        <v>22875</v>
      </c>
      <c r="O325" s="28">
        <v>0.03</v>
      </c>
      <c r="P325" s="28">
        <v>3.11</v>
      </c>
      <c r="Q325" s="28">
        <v>3.01</v>
      </c>
      <c r="R325" s="26"/>
      <c r="S325" s="26"/>
      <c r="T325" s="26"/>
      <c r="U325" s="26"/>
    </row>
    <row r="326" spans="1:21" x14ac:dyDescent="0.3">
      <c r="A326" s="26"/>
      <c r="B326" s="29">
        <v>45622</v>
      </c>
      <c r="C326" s="28" t="s">
        <v>11</v>
      </c>
      <c r="D326" s="28" t="s">
        <v>72</v>
      </c>
      <c r="E326" s="28" t="s">
        <v>47</v>
      </c>
      <c r="F326" s="28" t="s">
        <v>36</v>
      </c>
      <c r="G326" s="28" t="s">
        <v>31</v>
      </c>
      <c r="H326" s="28" t="s">
        <v>88</v>
      </c>
      <c r="I326" s="28">
        <v>2750</v>
      </c>
      <c r="J326" s="28">
        <v>83000</v>
      </c>
      <c r="K326" s="28">
        <v>4150</v>
      </c>
      <c r="L326" s="28">
        <v>208</v>
      </c>
      <c r="M326" s="28">
        <v>0.05</v>
      </c>
      <c r="N326" s="28">
        <v>31125</v>
      </c>
      <c r="O326" s="28">
        <v>0.05</v>
      </c>
      <c r="P326" s="28">
        <v>0.66</v>
      </c>
      <c r="Q326" s="28">
        <v>10.32</v>
      </c>
      <c r="R326" s="26"/>
      <c r="S326" s="26"/>
      <c r="T326" s="26"/>
      <c r="U326" s="26"/>
    </row>
    <row r="327" spans="1:21" x14ac:dyDescent="0.3">
      <c r="A327" s="26"/>
      <c r="B327" s="29">
        <v>45629</v>
      </c>
      <c r="C327" s="28" t="s">
        <v>11</v>
      </c>
      <c r="D327" s="28" t="s">
        <v>65</v>
      </c>
      <c r="E327" s="28" t="s">
        <v>47</v>
      </c>
      <c r="F327" s="28" t="s">
        <v>44</v>
      </c>
      <c r="G327" s="28" t="s">
        <v>33</v>
      </c>
      <c r="H327" s="28" t="s">
        <v>88</v>
      </c>
      <c r="I327" s="28">
        <v>3250</v>
      </c>
      <c r="J327" s="28">
        <v>99000</v>
      </c>
      <c r="K327" s="28">
        <v>3960</v>
      </c>
      <c r="L327" s="28">
        <v>198</v>
      </c>
      <c r="M327" s="28">
        <v>0.05</v>
      </c>
      <c r="N327" s="28">
        <v>29700</v>
      </c>
      <c r="O327" s="28">
        <v>0.04</v>
      </c>
      <c r="P327" s="28">
        <v>0.82</v>
      </c>
      <c r="Q327" s="28">
        <v>8.14</v>
      </c>
      <c r="R327" s="26"/>
      <c r="S327" s="26"/>
      <c r="T327" s="26"/>
      <c r="U327" s="26"/>
    </row>
    <row r="328" spans="1:21" x14ac:dyDescent="0.3">
      <c r="A328" s="26"/>
      <c r="B328" s="29">
        <v>45636</v>
      </c>
      <c r="C328" s="28" t="s">
        <v>11</v>
      </c>
      <c r="D328" s="28" t="s">
        <v>78</v>
      </c>
      <c r="E328" s="28" t="s">
        <v>48</v>
      </c>
      <c r="F328" s="28" t="s">
        <v>45</v>
      </c>
      <c r="G328" s="28" t="s">
        <v>31</v>
      </c>
      <c r="H328" s="28" t="s">
        <v>88</v>
      </c>
      <c r="I328" s="28">
        <v>2400</v>
      </c>
      <c r="J328" s="28">
        <v>77000</v>
      </c>
      <c r="K328" s="28">
        <v>3850</v>
      </c>
      <c r="L328" s="28">
        <v>192</v>
      </c>
      <c r="M328" s="28">
        <v>0.05</v>
      </c>
      <c r="N328" s="28">
        <v>28875</v>
      </c>
      <c r="O328" s="28">
        <v>0.05</v>
      </c>
      <c r="P328" s="28">
        <v>0.62</v>
      </c>
      <c r="Q328" s="28">
        <v>11.03</v>
      </c>
      <c r="R328" s="26"/>
      <c r="S328" s="26"/>
      <c r="T328" s="26"/>
      <c r="U328" s="26"/>
    </row>
    <row r="329" spans="1:21" x14ac:dyDescent="0.3">
      <c r="A329" s="26"/>
      <c r="B329" s="29">
        <v>45643</v>
      </c>
      <c r="C329" s="28" t="s">
        <v>12</v>
      </c>
      <c r="D329" s="28" t="s">
        <v>67</v>
      </c>
      <c r="E329" s="28" t="s">
        <v>48</v>
      </c>
      <c r="F329" s="28" t="s">
        <v>45</v>
      </c>
      <c r="G329" s="28" t="s">
        <v>32</v>
      </c>
      <c r="H329" s="28" t="s">
        <v>88</v>
      </c>
      <c r="I329" s="28">
        <v>3750</v>
      </c>
      <c r="J329" s="28">
        <v>117000</v>
      </c>
      <c r="K329" s="28">
        <v>4680</v>
      </c>
      <c r="L329" s="28">
        <v>234</v>
      </c>
      <c r="M329" s="28">
        <v>0.05</v>
      </c>
      <c r="N329" s="28">
        <v>35100</v>
      </c>
      <c r="O329" s="28">
        <v>0.04</v>
      </c>
      <c r="P329" s="28">
        <v>0.8</v>
      </c>
      <c r="Q329" s="28">
        <v>8.36</v>
      </c>
      <c r="R329" s="26"/>
      <c r="S329" s="26"/>
      <c r="T329" s="26"/>
      <c r="U329" s="26"/>
    </row>
    <row r="330" spans="1:21" x14ac:dyDescent="0.3">
      <c r="A330" s="26"/>
      <c r="B330" s="29">
        <v>45650</v>
      </c>
      <c r="C330" s="28" t="s">
        <v>11</v>
      </c>
      <c r="D330" s="28" t="s">
        <v>66</v>
      </c>
      <c r="E330" s="28" t="s">
        <v>48</v>
      </c>
      <c r="F330" s="28" t="s">
        <v>45</v>
      </c>
      <c r="G330" s="28" t="s">
        <v>30</v>
      </c>
      <c r="H330" s="28" t="s">
        <v>88</v>
      </c>
      <c r="I330" s="28">
        <v>5600</v>
      </c>
      <c r="J330" s="28">
        <v>60000</v>
      </c>
      <c r="K330" s="28">
        <v>1800</v>
      </c>
      <c r="L330" s="28">
        <v>90</v>
      </c>
      <c r="M330" s="28">
        <v>0.05</v>
      </c>
      <c r="N330" s="28">
        <v>22500</v>
      </c>
      <c r="O330" s="28">
        <v>0.03</v>
      </c>
      <c r="P330" s="28">
        <v>3.11</v>
      </c>
      <c r="Q330" s="28">
        <v>3.02</v>
      </c>
      <c r="R330" s="26"/>
      <c r="S330" s="26"/>
      <c r="T330" s="26"/>
      <c r="U330" s="26"/>
    </row>
    <row r="331" spans="1:21" x14ac:dyDescent="0.3">
      <c r="A331" s="26"/>
      <c r="B331" s="29">
        <v>45657</v>
      </c>
      <c r="C331" s="28" t="s">
        <v>12</v>
      </c>
      <c r="D331" s="28" t="s">
        <v>79</v>
      </c>
      <c r="E331" s="28" t="s">
        <v>47</v>
      </c>
      <c r="F331" s="28" t="s">
        <v>41</v>
      </c>
      <c r="G331" s="28" t="s">
        <v>31</v>
      </c>
      <c r="H331" s="28" t="s">
        <v>88</v>
      </c>
      <c r="I331" s="28">
        <v>2600</v>
      </c>
      <c r="J331" s="28">
        <v>81000</v>
      </c>
      <c r="K331" s="28">
        <v>4050</v>
      </c>
      <c r="L331" s="28">
        <v>202</v>
      </c>
      <c r="M331" s="28">
        <v>0.05</v>
      </c>
      <c r="N331" s="28">
        <v>30375</v>
      </c>
      <c r="O331" s="28">
        <v>0.05</v>
      </c>
      <c r="P331" s="28">
        <v>0.64</v>
      </c>
      <c r="Q331" s="28">
        <v>10.68</v>
      </c>
      <c r="R331" s="26"/>
      <c r="S331" s="26"/>
      <c r="T331" s="26"/>
      <c r="U331" s="26"/>
    </row>
    <row r="332" spans="1:21" x14ac:dyDescent="0.3">
      <c r="A332" s="26"/>
      <c r="B332" s="29">
        <v>45265</v>
      </c>
      <c r="C332" s="28" t="s">
        <v>11</v>
      </c>
      <c r="D332" s="28" t="s">
        <v>65</v>
      </c>
      <c r="E332" s="28" t="s">
        <v>47</v>
      </c>
      <c r="F332" s="28" t="s">
        <v>41</v>
      </c>
      <c r="G332" s="28" t="s">
        <v>31</v>
      </c>
      <c r="H332" s="28" t="s">
        <v>85</v>
      </c>
      <c r="I332" s="28">
        <v>1450</v>
      </c>
      <c r="J332" s="28">
        <v>58000</v>
      </c>
      <c r="K332" s="28">
        <v>2900</v>
      </c>
      <c r="L332" s="28">
        <v>145</v>
      </c>
      <c r="M332" s="28">
        <v>0.05</v>
      </c>
      <c r="N332" s="28">
        <v>21750</v>
      </c>
      <c r="O332" s="28">
        <v>0.05</v>
      </c>
      <c r="P332" s="28">
        <v>0.5</v>
      </c>
      <c r="Q332" s="28">
        <v>14</v>
      </c>
      <c r="R332" s="26"/>
      <c r="S332" s="26"/>
      <c r="T332" s="26"/>
      <c r="U332" s="26"/>
    </row>
    <row r="333" spans="1:21" x14ac:dyDescent="0.3">
      <c r="A333" s="26"/>
      <c r="B333" s="29">
        <v>45272</v>
      </c>
      <c r="C333" s="28" t="s">
        <v>11</v>
      </c>
      <c r="D333" s="28" t="s">
        <v>67</v>
      </c>
      <c r="E333" s="28" t="s">
        <v>48</v>
      </c>
      <c r="F333" s="28" t="s">
        <v>41</v>
      </c>
      <c r="G333" s="28" t="s">
        <v>32</v>
      </c>
      <c r="H333" s="28" t="s">
        <v>85</v>
      </c>
      <c r="I333" s="28">
        <v>2850</v>
      </c>
      <c r="J333" s="28">
        <v>89000</v>
      </c>
      <c r="K333" s="28">
        <v>3560</v>
      </c>
      <c r="L333" s="28">
        <v>178</v>
      </c>
      <c r="M333" s="28">
        <v>0.05</v>
      </c>
      <c r="N333" s="28">
        <v>26700</v>
      </c>
      <c r="O333" s="28">
        <v>0.04</v>
      </c>
      <c r="P333" s="28">
        <v>0.8</v>
      </c>
      <c r="Q333" s="28">
        <v>8.3699999999999992</v>
      </c>
      <c r="R333" s="26"/>
      <c r="S333" s="26"/>
      <c r="T333" s="26"/>
      <c r="U333" s="26"/>
    </row>
    <row r="334" spans="1:21" x14ac:dyDescent="0.3">
      <c r="A334" s="26"/>
      <c r="B334" s="29">
        <v>45279</v>
      </c>
      <c r="C334" s="28" t="s">
        <v>13</v>
      </c>
      <c r="D334" s="28" t="s">
        <v>80</v>
      </c>
      <c r="E334" s="28" t="s">
        <v>48</v>
      </c>
      <c r="F334" s="28" t="s">
        <v>44</v>
      </c>
      <c r="G334" s="28" t="s">
        <v>33</v>
      </c>
      <c r="H334" s="28" t="s">
        <v>85</v>
      </c>
      <c r="I334" s="28">
        <v>2250</v>
      </c>
      <c r="J334" s="28">
        <v>74000</v>
      </c>
      <c r="K334" s="28">
        <v>3700</v>
      </c>
      <c r="L334" s="28">
        <v>185</v>
      </c>
      <c r="M334" s="28">
        <v>0.05</v>
      </c>
      <c r="N334" s="28">
        <v>27750</v>
      </c>
      <c r="O334" s="28">
        <v>0.05</v>
      </c>
      <c r="P334" s="28">
        <v>0.61</v>
      </c>
      <c r="Q334" s="28">
        <v>11.33</v>
      </c>
      <c r="R334" s="26"/>
      <c r="S334" s="26"/>
      <c r="T334" s="26"/>
      <c r="U334" s="26"/>
    </row>
    <row r="335" spans="1:21" x14ac:dyDescent="0.3">
      <c r="A335" s="26"/>
      <c r="B335" s="29">
        <v>45286</v>
      </c>
      <c r="C335" s="28" t="s">
        <v>12</v>
      </c>
      <c r="D335" s="28" t="s">
        <v>70</v>
      </c>
      <c r="E335" s="28" t="s">
        <v>49</v>
      </c>
      <c r="F335" s="28" t="s">
        <v>45</v>
      </c>
      <c r="G335" s="28" t="s">
        <v>30</v>
      </c>
      <c r="H335" s="28" t="s">
        <v>85</v>
      </c>
      <c r="I335" s="28">
        <v>4700</v>
      </c>
      <c r="J335" s="28">
        <v>51000</v>
      </c>
      <c r="K335" s="28">
        <v>1530</v>
      </c>
      <c r="L335" s="28">
        <v>77</v>
      </c>
      <c r="M335" s="28">
        <v>0.05</v>
      </c>
      <c r="N335" s="28">
        <v>19125</v>
      </c>
      <c r="O335" s="28">
        <v>0.03</v>
      </c>
      <c r="P335" s="28">
        <v>3.07</v>
      </c>
      <c r="Q335" s="28">
        <v>3.07</v>
      </c>
      <c r="R335" s="26"/>
      <c r="S335" s="26"/>
      <c r="T335" s="26"/>
      <c r="U335" s="26"/>
    </row>
    <row r="336" spans="1:21" x14ac:dyDescent="0.3">
      <c r="A336" s="26"/>
      <c r="B336" s="29">
        <v>45265</v>
      </c>
      <c r="C336" s="28" t="s">
        <v>10</v>
      </c>
      <c r="D336" s="28" t="s">
        <v>79</v>
      </c>
      <c r="E336" s="28" t="s">
        <v>47</v>
      </c>
      <c r="F336" s="28" t="s">
        <v>39</v>
      </c>
      <c r="G336" s="28" t="s">
        <v>33</v>
      </c>
      <c r="H336" s="28" t="s">
        <v>85</v>
      </c>
      <c r="I336" s="28">
        <v>2950</v>
      </c>
      <c r="J336" s="28">
        <v>90000</v>
      </c>
      <c r="K336" s="28">
        <v>3600</v>
      </c>
      <c r="L336" s="28">
        <v>180</v>
      </c>
      <c r="M336" s="28">
        <v>0.05</v>
      </c>
      <c r="N336" s="28">
        <v>27000</v>
      </c>
      <c r="O336" s="28">
        <v>0.04</v>
      </c>
      <c r="P336" s="28">
        <v>0.82</v>
      </c>
      <c r="Q336" s="28">
        <v>8.15</v>
      </c>
      <c r="R336" s="26"/>
      <c r="S336" s="26"/>
      <c r="T336" s="26"/>
      <c r="U336" s="26"/>
    </row>
    <row r="337" spans="1:21" x14ac:dyDescent="0.3">
      <c r="A337" s="26"/>
      <c r="B337" s="29">
        <v>45272</v>
      </c>
      <c r="C337" s="28" t="s">
        <v>10</v>
      </c>
      <c r="D337" s="28" t="s">
        <v>65</v>
      </c>
      <c r="E337" s="28" t="s">
        <v>47</v>
      </c>
      <c r="F337" s="28" t="s">
        <v>34</v>
      </c>
      <c r="G337" s="28" t="s">
        <v>31</v>
      </c>
      <c r="H337" s="28" t="s">
        <v>85</v>
      </c>
      <c r="I337" s="28">
        <v>1750</v>
      </c>
      <c r="J337" s="28">
        <v>63000</v>
      </c>
      <c r="K337" s="28">
        <v>3150</v>
      </c>
      <c r="L337" s="28">
        <v>158</v>
      </c>
      <c r="M337" s="28">
        <v>0.05</v>
      </c>
      <c r="N337" s="28">
        <v>23625</v>
      </c>
      <c r="O337" s="28">
        <v>0.05</v>
      </c>
      <c r="P337" s="28">
        <v>0.56000000000000005</v>
      </c>
      <c r="Q337" s="28">
        <v>12.5</v>
      </c>
      <c r="R337" s="26"/>
      <c r="S337" s="26"/>
      <c r="T337" s="26"/>
      <c r="U337" s="26"/>
    </row>
    <row r="338" spans="1:21" x14ac:dyDescent="0.3">
      <c r="A338" s="26"/>
      <c r="B338" s="29">
        <v>45279</v>
      </c>
      <c r="C338" s="28" t="s">
        <v>11</v>
      </c>
      <c r="D338" s="28" t="s">
        <v>72</v>
      </c>
      <c r="E338" s="28" t="s">
        <v>47</v>
      </c>
      <c r="F338" s="28" t="s">
        <v>45</v>
      </c>
      <c r="G338" s="28" t="s">
        <v>32</v>
      </c>
      <c r="H338" s="28" t="s">
        <v>85</v>
      </c>
      <c r="I338" s="28">
        <v>3350</v>
      </c>
      <c r="J338" s="28">
        <v>105000</v>
      </c>
      <c r="K338" s="28">
        <v>4200</v>
      </c>
      <c r="L338" s="28">
        <v>210</v>
      </c>
      <c r="M338" s="28">
        <v>0.05</v>
      </c>
      <c r="N338" s="28">
        <v>31500</v>
      </c>
      <c r="O338" s="28">
        <v>0.04</v>
      </c>
      <c r="P338" s="28">
        <v>0.8</v>
      </c>
      <c r="Q338" s="28">
        <v>8.4</v>
      </c>
      <c r="R338" s="26"/>
      <c r="S338" s="26"/>
      <c r="T338" s="26"/>
      <c r="U338" s="26"/>
    </row>
    <row r="339" spans="1:21" x14ac:dyDescent="0.3">
      <c r="A339" s="26"/>
      <c r="B339" s="29">
        <v>45286</v>
      </c>
      <c r="C339" s="28" t="s">
        <v>10</v>
      </c>
      <c r="D339" s="28" t="s">
        <v>82</v>
      </c>
      <c r="E339" s="28" t="s">
        <v>47</v>
      </c>
      <c r="F339" s="28" t="s">
        <v>44</v>
      </c>
      <c r="G339" s="28" t="s">
        <v>31</v>
      </c>
      <c r="H339" s="28" t="s">
        <v>85</v>
      </c>
      <c r="I339" s="28">
        <v>1950</v>
      </c>
      <c r="J339" s="28">
        <v>67000</v>
      </c>
      <c r="K339" s="28">
        <v>3350</v>
      </c>
      <c r="L339" s="28">
        <v>168</v>
      </c>
      <c r="M339" s="28">
        <v>0.05</v>
      </c>
      <c r="N339" s="28">
        <v>25125</v>
      </c>
      <c r="O339" s="28">
        <v>0.05</v>
      </c>
      <c r="P339" s="28">
        <v>0.57999999999999996</v>
      </c>
      <c r="Q339" s="28">
        <v>11.88</v>
      </c>
      <c r="R339" s="26"/>
      <c r="S339" s="26"/>
      <c r="T339" s="26"/>
      <c r="U339" s="26"/>
    </row>
    <row r="340" spans="1:21" x14ac:dyDescent="0.3">
      <c r="A340" s="26"/>
      <c r="B340" s="29">
        <v>44986</v>
      </c>
      <c r="C340" s="28" t="s">
        <v>12</v>
      </c>
      <c r="D340" s="28" t="s">
        <v>80</v>
      </c>
      <c r="E340" s="28" t="s">
        <v>48</v>
      </c>
      <c r="F340" s="28" t="s">
        <v>36</v>
      </c>
      <c r="G340" s="28" t="s">
        <v>30</v>
      </c>
      <c r="H340" s="28" t="s">
        <v>85</v>
      </c>
      <c r="I340" s="28">
        <v>5200</v>
      </c>
      <c r="J340" s="28">
        <v>56000</v>
      </c>
      <c r="K340" s="28">
        <v>1680</v>
      </c>
      <c r="L340" s="28">
        <v>84</v>
      </c>
      <c r="M340" s="28">
        <v>0.05</v>
      </c>
      <c r="N340" s="28">
        <v>21000</v>
      </c>
      <c r="O340" s="28">
        <v>0.03</v>
      </c>
      <c r="P340" s="28">
        <v>3.1</v>
      </c>
      <c r="Q340" s="28">
        <v>3.04</v>
      </c>
      <c r="R340" s="26"/>
      <c r="S340" s="26"/>
      <c r="T340" s="26"/>
      <c r="U340" s="26"/>
    </row>
    <row r="341" spans="1:21" x14ac:dyDescent="0.3">
      <c r="A341" s="26"/>
      <c r="B341" s="29">
        <v>45265</v>
      </c>
      <c r="C341" s="28" t="s">
        <v>10</v>
      </c>
      <c r="D341" s="28" t="s">
        <v>80</v>
      </c>
      <c r="E341" s="28" t="s">
        <v>48</v>
      </c>
      <c r="F341" s="28" t="s">
        <v>41</v>
      </c>
      <c r="G341" s="28" t="s">
        <v>33</v>
      </c>
      <c r="H341" s="28" t="s">
        <v>85</v>
      </c>
      <c r="I341" s="28">
        <v>2750</v>
      </c>
      <c r="J341" s="28">
        <v>86000</v>
      </c>
      <c r="K341" s="28">
        <v>3440</v>
      </c>
      <c r="L341" s="28">
        <v>172</v>
      </c>
      <c r="M341" s="28">
        <v>0.05</v>
      </c>
      <c r="N341" s="28">
        <v>25800</v>
      </c>
      <c r="O341" s="28">
        <v>0.04</v>
      </c>
      <c r="P341" s="28">
        <v>0.8</v>
      </c>
      <c r="Q341" s="28">
        <v>8.3800000000000008</v>
      </c>
      <c r="R341" s="26"/>
      <c r="S341" s="26"/>
      <c r="T341" s="26"/>
      <c r="U341" s="26"/>
    </row>
    <row r="342" spans="1:21" x14ac:dyDescent="0.3">
      <c r="A342" s="26"/>
      <c r="B342" s="29">
        <v>45272</v>
      </c>
      <c r="C342" s="28" t="s">
        <v>10</v>
      </c>
      <c r="D342" s="28" t="s">
        <v>70</v>
      </c>
      <c r="E342" s="28" t="s">
        <v>49</v>
      </c>
      <c r="F342" s="28" t="s">
        <v>45</v>
      </c>
      <c r="G342" s="28" t="s">
        <v>31</v>
      </c>
      <c r="H342" s="28" t="s">
        <v>85</v>
      </c>
      <c r="I342" s="28">
        <v>2050</v>
      </c>
      <c r="J342" s="28">
        <v>70000</v>
      </c>
      <c r="K342" s="28">
        <v>3500</v>
      </c>
      <c r="L342" s="28">
        <v>175</v>
      </c>
      <c r="M342" s="28">
        <v>0.05</v>
      </c>
      <c r="N342" s="28">
        <v>26250</v>
      </c>
      <c r="O342" s="28">
        <v>0.05</v>
      </c>
      <c r="P342" s="28">
        <v>0.59</v>
      </c>
      <c r="Q342" s="28">
        <v>11.8</v>
      </c>
      <c r="R342" s="26"/>
      <c r="S342" s="26"/>
      <c r="T342" s="26"/>
      <c r="U342" s="26"/>
    </row>
    <row r="343" spans="1:21" x14ac:dyDescent="0.3">
      <c r="A343" s="26"/>
      <c r="B343" s="29">
        <v>45279</v>
      </c>
      <c r="C343" s="28" t="s">
        <v>13</v>
      </c>
      <c r="D343" s="28" t="s">
        <v>67</v>
      </c>
      <c r="E343" s="28" t="s">
        <v>48</v>
      </c>
      <c r="F343" s="28" t="s">
        <v>45</v>
      </c>
      <c r="G343" s="28" t="s">
        <v>32</v>
      </c>
      <c r="H343" s="28" t="s">
        <v>86</v>
      </c>
      <c r="I343" s="28">
        <v>3550</v>
      </c>
      <c r="J343" s="28">
        <v>111000</v>
      </c>
      <c r="K343" s="28">
        <v>4440</v>
      </c>
      <c r="L343" s="28">
        <v>222</v>
      </c>
      <c r="M343" s="28">
        <v>0.05</v>
      </c>
      <c r="N343" s="28">
        <v>33300</v>
      </c>
      <c r="O343" s="28">
        <v>0.04</v>
      </c>
      <c r="P343" s="28">
        <v>0.8</v>
      </c>
      <c r="Q343" s="28">
        <v>8.3800000000000008</v>
      </c>
      <c r="R343" s="26"/>
      <c r="S343" s="26"/>
      <c r="T343" s="26"/>
      <c r="U343" s="26"/>
    </row>
    <row r="344" spans="1:21" x14ac:dyDescent="0.3">
      <c r="A344" s="26"/>
      <c r="B344" s="29">
        <v>45286</v>
      </c>
      <c r="C344" s="28" t="s">
        <v>10</v>
      </c>
      <c r="D344" s="28" t="s">
        <v>73</v>
      </c>
      <c r="E344" s="28" t="s">
        <v>47</v>
      </c>
      <c r="F344" s="28" t="s">
        <v>41</v>
      </c>
      <c r="G344" s="28" t="s">
        <v>31</v>
      </c>
      <c r="H344" s="28" t="s">
        <v>86</v>
      </c>
      <c r="I344" s="28">
        <v>2350</v>
      </c>
      <c r="J344" s="28">
        <v>75000</v>
      </c>
      <c r="K344" s="28">
        <v>3750</v>
      </c>
      <c r="L344" s="28">
        <v>188</v>
      </c>
      <c r="M344" s="28">
        <v>0.05</v>
      </c>
      <c r="N344" s="28">
        <v>28125</v>
      </c>
      <c r="O344" s="28">
        <v>0.05</v>
      </c>
      <c r="P344" s="28">
        <v>0.63</v>
      </c>
      <c r="Q344" s="28">
        <v>10.97</v>
      </c>
      <c r="R344" s="26"/>
      <c r="S344" s="26"/>
      <c r="T344" s="26"/>
      <c r="U344" s="26"/>
    </row>
    <row r="345" spans="1:21" x14ac:dyDescent="0.3">
      <c r="A345" s="26"/>
      <c r="B345" s="29">
        <v>45021</v>
      </c>
      <c r="C345" s="28" t="s">
        <v>12</v>
      </c>
      <c r="D345" s="28" t="s">
        <v>82</v>
      </c>
      <c r="E345" s="28" t="s">
        <v>47</v>
      </c>
      <c r="F345" s="28" t="s">
        <v>41</v>
      </c>
      <c r="G345" s="28" t="s">
        <v>30</v>
      </c>
      <c r="H345" s="28" t="s">
        <v>86</v>
      </c>
      <c r="I345" s="28">
        <v>5400</v>
      </c>
      <c r="J345" s="28">
        <v>58000</v>
      </c>
      <c r="K345" s="28">
        <v>1740</v>
      </c>
      <c r="L345" s="28">
        <v>87</v>
      </c>
      <c r="M345" s="28">
        <v>0.05</v>
      </c>
      <c r="N345" s="28">
        <v>21750</v>
      </c>
      <c r="O345" s="28">
        <v>0.03</v>
      </c>
      <c r="P345" s="28">
        <v>3.1</v>
      </c>
      <c r="Q345" s="28">
        <v>3.03</v>
      </c>
      <c r="R345" s="26"/>
      <c r="S345" s="26"/>
      <c r="T345" s="26"/>
      <c r="U345" s="26"/>
    </row>
    <row r="346" spans="1:21" x14ac:dyDescent="0.3">
      <c r="A346" s="26"/>
      <c r="B346" s="29">
        <v>45028</v>
      </c>
      <c r="C346" s="28" t="s">
        <v>12</v>
      </c>
      <c r="D346" s="28" t="s">
        <v>79</v>
      </c>
      <c r="E346" s="28" t="s">
        <v>47</v>
      </c>
      <c r="F346" s="28" t="s">
        <v>38</v>
      </c>
      <c r="G346" s="28" t="s">
        <v>33</v>
      </c>
      <c r="H346" s="28" t="s">
        <v>86</v>
      </c>
      <c r="I346" s="28">
        <v>3050</v>
      </c>
      <c r="J346" s="28">
        <v>94000</v>
      </c>
      <c r="K346" s="28">
        <v>3760</v>
      </c>
      <c r="L346" s="28">
        <v>188</v>
      </c>
      <c r="M346" s="28">
        <v>0.05</v>
      </c>
      <c r="N346" s="28">
        <v>28200</v>
      </c>
      <c r="O346" s="28">
        <v>0.04</v>
      </c>
      <c r="P346" s="28">
        <v>0.81</v>
      </c>
      <c r="Q346" s="28">
        <v>8.25</v>
      </c>
      <c r="R346" s="26"/>
      <c r="S346" s="26"/>
      <c r="T346" s="26"/>
      <c r="U346" s="26"/>
    </row>
    <row r="347" spans="1:21" x14ac:dyDescent="0.3">
      <c r="A347" s="26"/>
      <c r="B347" s="29">
        <v>45035</v>
      </c>
      <c r="C347" s="28" t="s">
        <v>11</v>
      </c>
      <c r="D347" s="28" t="s">
        <v>75</v>
      </c>
      <c r="E347" s="28" t="s">
        <v>47</v>
      </c>
      <c r="F347" s="28" t="s">
        <v>37</v>
      </c>
      <c r="G347" s="28" t="s">
        <v>31</v>
      </c>
      <c r="H347" s="28" t="s">
        <v>86</v>
      </c>
      <c r="I347" s="28">
        <v>2150</v>
      </c>
      <c r="J347" s="28">
        <v>72000</v>
      </c>
      <c r="K347" s="28">
        <v>3600</v>
      </c>
      <c r="L347" s="28">
        <v>180</v>
      </c>
      <c r="M347" s="28">
        <v>0.05</v>
      </c>
      <c r="N347" s="28">
        <v>27000</v>
      </c>
      <c r="O347" s="28">
        <v>0.05</v>
      </c>
      <c r="P347" s="28">
        <v>0.6</v>
      </c>
      <c r="Q347" s="28">
        <v>11.56</v>
      </c>
      <c r="R347" s="26"/>
      <c r="S347" s="26"/>
      <c r="T347" s="26"/>
      <c r="U347" s="26"/>
    </row>
    <row r="348" spans="1:21" x14ac:dyDescent="0.3">
      <c r="A348" s="26"/>
      <c r="B348" s="29">
        <v>45042</v>
      </c>
      <c r="C348" s="28" t="s">
        <v>12</v>
      </c>
      <c r="D348" s="28" t="s">
        <v>76</v>
      </c>
      <c r="E348" s="28" t="s">
        <v>49</v>
      </c>
      <c r="F348" s="28" t="s">
        <v>40</v>
      </c>
      <c r="G348" s="28" t="s">
        <v>32</v>
      </c>
      <c r="H348" s="28" t="s">
        <v>86</v>
      </c>
      <c r="I348" s="28">
        <v>3750</v>
      </c>
      <c r="J348" s="28">
        <v>117000</v>
      </c>
      <c r="K348" s="28">
        <v>4680</v>
      </c>
      <c r="L348" s="28">
        <v>234</v>
      </c>
      <c r="M348" s="28">
        <v>0.05</v>
      </c>
      <c r="N348" s="28">
        <v>35100</v>
      </c>
      <c r="O348" s="28">
        <v>0.04</v>
      </c>
      <c r="P348" s="28">
        <v>0.8</v>
      </c>
      <c r="Q348" s="28">
        <v>8.36</v>
      </c>
      <c r="R348" s="26"/>
      <c r="S348" s="26"/>
      <c r="T348" s="26"/>
      <c r="U348" s="26"/>
    </row>
    <row r="349" spans="1:21" x14ac:dyDescent="0.3">
      <c r="A349" s="26"/>
      <c r="B349" s="29">
        <v>45049</v>
      </c>
      <c r="C349" s="28" t="s">
        <v>10</v>
      </c>
      <c r="D349" s="28" t="s">
        <v>81</v>
      </c>
      <c r="E349" s="28" t="s">
        <v>48</v>
      </c>
      <c r="F349" s="28" t="s">
        <v>45</v>
      </c>
      <c r="G349" s="28" t="s">
        <v>31</v>
      </c>
      <c r="H349" s="28" t="s">
        <v>86</v>
      </c>
      <c r="I349" s="28">
        <v>2550</v>
      </c>
      <c r="J349" s="28">
        <v>78000</v>
      </c>
      <c r="K349" s="28">
        <v>3900</v>
      </c>
      <c r="L349" s="28">
        <v>195</v>
      </c>
      <c r="M349" s="28">
        <v>0.05</v>
      </c>
      <c r="N349" s="28">
        <v>29250</v>
      </c>
      <c r="O349" s="28">
        <v>0.05</v>
      </c>
      <c r="P349" s="28">
        <v>0.65</v>
      </c>
      <c r="Q349" s="28">
        <v>10.47</v>
      </c>
      <c r="R349" s="26"/>
      <c r="S349" s="26"/>
      <c r="T349" s="26"/>
      <c r="U349" s="26"/>
    </row>
    <row r="350" spans="1:21" x14ac:dyDescent="0.3">
      <c r="A350" s="26"/>
      <c r="B350" s="29">
        <v>45056</v>
      </c>
      <c r="C350" s="28" t="s">
        <v>12</v>
      </c>
      <c r="D350" s="28" t="s">
        <v>75</v>
      </c>
      <c r="E350" s="28" t="s">
        <v>47</v>
      </c>
      <c r="F350" s="28" t="s">
        <v>42</v>
      </c>
      <c r="G350" s="28" t="s">
        <v>30</v>
      </c>
      <c r="H350" s="28" t="s">
        <v>86</v>
      </c>
      <c r="I350" s="28">
        <v>5000</v>
      </c>
      <c r="J350" s="28">
        <v>54000</v>
      </c>
      <c r="K350" s="28">
        <v>1620</v>
      </c>
      <c r="L350" s="28">
        <v>81</v>
      </c>
      <c r="M350" s="28">
        <v>0.05</v>
      </c>
      <c r="N350" s="28">
        <v>20250</v>
      </c>
      <c r="O350" s="28">
        <v>0.03</v>
      </c>
      <c r="P350" s="28">
        <v>3.09</v>
      </c>
      <c r="Q350" s="28">
        <v>3.05</v>
      </c>
      <c r="R350" s="26"/>
      <c r="S350" s="26"/>
      <c r="T350" s="26"/>
      <c r="U350" s="26"/>
    </row>
    <row r="351" spans="1:21" x14ac:dyDescent="0.3">
      <c r="A351" s="26"/>
      <c r="B351" s="29">
        <v>45063</v>
      </c>
      <c r="C351" s="28" t="s">
        <v>10</v>
      </c>
      <c r="D351" s="28" t="s">
        <v>78</v>
      </c>
      <c r="E351" s="28" t="s">
        <v>48</v>
      </c>
      <c r="F351" s="28" t="s">
        <v>45</v>
      </c>
      <c r="G351" s="28" t="s">
        <v>33</v>
      </c>
      <c r="H351" s="28" t="s">
        <v>86</v>
      </c>
      <c r="I351" s="28">
        <v>3150</v>
      </c>
      <c r="J351" s="28">
        <v>97000</v>
      </c>
      <c r="K351" s="28">
        <v>3880</v>
      </c>
      <c r="L351" s="28">
        <v>194</v>
      </c>
      <c r="M351" s="28">
        <v>0.05</v>
      </c>
      <c r="N351" s="28">
        <v>29100</v>
      </c>
      <c r="O351" s="28">
        <v>0.04</v>
      </c>
      <c r="P351" s="28">
        <v>0.81</v>
      </c>
      <c r="Q351" s="28">
        <v>8.24</v>
      </c>
      <c r="R351" s="26"/>
      <c r="S351" s="26"/>
      <c r="T351" s="26"/>
      <c r="U351" s="26"/>
    </row>
    <row r="352" spans="1:21" x14ac:dyDescent="0.3">
      <c r="A352" s="26"/>
      <c r="B352" s="29">
        <v>45070</v>
      </c>
      <c r="C352" s="28" t="s">
        <v>12</v>
      </c>
      <c r="D352" s="28" t="s">
        <v>82</v>
      </c>
      <c r="E352" s="28" t="s">
        <v>47</v>
      </c>
      <c r="F352" s="28" t="s">
        <v>41</v>
      </c>
      <c r="G352" s="28" t="s">
        <v>31</v>
      </c>
      <c r="H352" s="28" t="s">
        <v>86</v>
      </c>
      <c r="I352" s="28">
        <v>2250</v>
      </c>
      <c r="J352" s="28">
        <v>74000</v>
      </c>
      <c r="K352" s="28">
        <v>3700</v>
      </c>
      <c r="L352" s="28">
        <v>185</v>
      </c>
      <c r="M352" s="28">
        <v>0.05</v>
      </c>
      <c r="N352" s="28">
        <v>27750</v>
      </c>
      <c r="O352" s="28">
        <v>0.05</v>
      </c>
      <c r="P352" s="28">
        <v>0.61</v>
      </c>
      <c r="Q352" s="28">
        <v>11.33</v>
      </c>
      <c r="R352" s="26"/>
      <c r="S352" s="26"/>
      <c r="T352" s="26"/>
      <c r="U352" s="26"/>
    </row>
    <row r="353" spans="1:21" x14ac:dyDescent="0.3">
      <c r="A353" s="26"/>
      <c r="B353" s="29">
        <v>45077</v>
      </c>
      <c r="C353" s="28" t="s">
        <v>12</v>
      </c>
      <c r="D353" s="28" t="s">
        <v>76</v>
      </c>
      <c r="E353" s="28" t="s">
        <v>49</v>
      </c>
      <c r="F353" s="28" t="s">
        <v>41</v>
      </c>
      <c r="G353" s="28" t="s">
        <v>32</v>
      </c>
      <c r="H353" s="28" t="s">
        <v>86</v>
      </c>
      <c r="I353" s="28">
        <v>3450</v>
      </c>
      <c r="J353" s="28">
        <v>109000</v>
      </c>
      <c r="K353" s="28">
        <v>4360</v>
      </c>
      <c r="L353" s="28">
        <v>218</v>
      </c>
      <c r="M353" s="28">
        <v>0.05</v>
      </c>
      <c r="N353" s="28">
        <v>32700</v>
      </c>
      <c r="O353" s="28">
        <v>0.04</v>
      </c>
      <c r="P353" s="28">
        <v>0.79</v>
      </c>
      <c r="Q353" s="28">
        <v>8.48</v>
      </c>
      <c r="R353" s="26"/>
      <c r="S353" s="26"/>
      <c r="T353" s="26"/>
      <c r="U353" s="26"/>
    </row>
    <row r="354" spans="1:21" x14ac:dyDescent="0.3">
      <c r="A354" s="26"/>
      <c r="B354" s="29">
        <v>45084</v>
      </c>
      <c r="C354" s="28" t="s">
        <v>12</v>
      </c>
      <c r="D354" s="28" t="s">
        <v>79</v>
      </c>
      <c r="E354" s="28" t="s">
        <v>47</v>
      </c>
      <c r="F354" s="28" t="s">
        <v>45</v>
      </c>
      <c r="G354" s="28" t="s">
        <v>31</v>
      </c>
      <c r="H354" s="28" t="s">
        <v>86</v>
      </c>
      <c r="I354" s="28">
        <v>1950</v>
      </c>
      <c r="J354" s="28">
        <v>68000</v>
      </c>
      <c r="K354" s="28">
        <v>3400</v>
      </c>
      <c r="L354" s="28">
        <v>170</v>
      </c>
      <c r="M354" s="28">
        <v>0.05</v>
      </c>
      <c r="N354" s="28">
        <v>25500</v>
      </c>
      <c r="O354" s="28">
        <v>0.05</v>
      </c>
      <c r="P354" s="28">
        <v>0.56999999999999995</v>
      </c>
      <c r="Q354" s="28">
        <v>12.08</v>
      </c>
      <c r="R354" s="26"/>
      <c r="S354" s="26"/>
      <c r="T354" s="26"/>
      <c r="U354" s="26"/>
    </row>
    <row r="355" spans="1:21" x14ac:dyDescent="0.3">
      <c r="A355" s="26"/>
      <c r="B355" s="29">
        <v>45091</v>
      </c>
      <c r="C355" s="28" t="s">
        <v>10</v>
      </c>
      <c r="D355" s="28" t="s">
        <v>80</v>
      </c>
      <c r="E355" s="28" t="s">
        <v>48</v>
      </c>
      <c r="F355" s="28" t="s">
        <v>45</v>
      </c>
      <c r="G355" s="28" t="s">
        <v>30</v>
      </c>
      <c r="H355" s="28" t="s">
        <v>86</v>
      </c>
      <c r="I355" s="28">
        <v>5600</v>
      </c>
      <c r="J355" s="28">
        <v>60000</v>
      </c>
      <c r="K355" s="28">
        <v>1800</v>
      </c>
      <c r="L355" s="28">
        <v>90</v>
      </c>
      <c r="M355" s="28">
        <v>0.05</v>
      </c>
      <c r="N355" s="28">
        <v>22500</v>
      </c>
      <c r="O355" s="28">
        <v>0.03</v>
      </c>
      <c r="P355" s="28">
        <v>3.11</v>
      </c>
      <c r="Q355" s="28">
        <v>3.02</v>
      </c>
      <c r="R355" s="26"/>
      <c r="S355" s="26"/>
      <c r="T355" s="26"/>
      <c r="U355" s="26"/>
    </row>
    <row r="356" spans="1:21" x14ac:dyDescent="0.3">
      <c r="A356" s="26"/>
      <c r="B356" s="29">
        <v>45098</v>
      </c>
      <c r="C356" s="28" t="s">
        <v>13</v>
      </c>
      <c r="D356" s="28" t="s">
        <v>79</v>
      </c>
      <c r="E356" s="28" t="s">
        <v>47</v>
      </c>
      <c r="F356" s="28" t="s">
        <v>43</v>
      </c>
      <c r="G356" s="28" t="s">
        <v>33</v>
      </c>
      <c r="H356" s="28" t="s">
        <v>86</v>
      </c>
      <c r="I356" s="28">
        <v>3350</v>
      </c>
      <c r="J356" s="28">
        <v>101000</v>
      </c>
      <c r="K356" s="28">
        <v>4040</v>
      </c>
      <c r="L356" s="28">
        <v>202</v>
      </c>
      <c r="M356" s="28">
        <v>0.05</v>
      </c>
      <c r="N356" s="28">
        <v>30300</v>
      </c>
      <c r="O356" s="28">
        <v>0.04</v>
      </c>
      <c r="P356" s="28">
        <v>0.83</v>
      </c>
      <c r="Q356" s="28">
        <v>8.0399999999999991</v>
      </c>
      <c r="R356" s="26"/>
      <c r="S356" s="26"/>
      <c r="T356" s="26"/>
      <c r="U356" s="26"/>
    </row>
    <row r="357" spans="1:21" x14ac:dyDescent="0.3">
      <c r="A357" s="26"/>
      <c r="B357" s="29">
        <v>45105</v>
      </c>
      <c r="C357" s="28" t="s">
        <v>12</v>
      </c>
      <c r="D357" s="28" t="s">
        <v>72</v>
      </c>
      <c r="E357" s="28" t="s">
        <v>47</v>
      </c>
      <c r="F357" s="28" t="s">
        <v>45</v>
      </c>
      <c r="G357" s="28" t="s">
        <v>31</v>
      </c>
      <c r="H357" s="28" t="s">
        <v>86</v>
      </c>
      <c r="I357" s="28">
        <v>2450</v>
      </c>
      <c r="J357" s="28">
        <v>77000</v>
      </c>
      <c r="K357" s="28">
        <v>3850</v>
      </c>
      <c r="L357" s="28">
        <v>192</v>
      </c>
      <c r="M357" s="28">
        <v>0.05</v>
      </c>
      <c r="N357" s="28">
        <v>28875</v>
      </c>
      <c r="O357" s="28">
        <v>0.05</v>
      </c>
      <c r="P357" s="28">
        <v>0.64</v>
      </c>
      <c r="Q357" s="28">
        <v>10.79</v>
      </c>
      <c r="R357" s="26"/>
      <c r="S357" s="26"/>
      <c r="T357" s="26"/>
      <c r="U357" s="26"/>
    </row>
    <row r="358" spans="1:21" x14ac:dyDescent="0.3">
      <c r="A358" s="26"/>
      <c r="B358" s="29">
        <v>45112</v>
      </c>
      <c r="C358" s="28" t="s">
        <v>13</v>
      </c>
      <c r="D358" s="28" t="s">
        <v>72</v>
      </c>
      <c r="E358" s="28" t="s">
        <v>47</v>
      </c>
      <c r="F358" s="28" t="s">
        <v>42</v>
      </c>
      <c r="G358" s="28" t="s">
        <v>32</v>
      </c>
      <c r="H358" s="28" t="s">
        <v>87</v>
      </c>
      <c r="I358" s="28">
        <v>3650</v>
      </c>
      <c r="J358" s="28">
        <v>114000</v>
      </c>
      <c r="K358" s="28">
        <v>4560</v>
      </c>
      <c r="L358" s="28">
        <v>228</v>
      </c>
      <c r="M358" s="28">
        <v>0.05</v>
      </c>
      <c r="N358" s="28">
        <v>34200</v>
      </c>
      <c r="O358" s="28">
        <v>0.04</v>
      </c>
      <c r="P358" s="28">
        <v>0.8</v>
      </c>
      <c r="Q358" s="28">
        <v>8.3699999999999992</v>
      </c>
      <c r="R358" s="26"/>
      <c r="S358" s="26"/>
      <c r="T358" s="26"/>
      <c r="U358" s="26"/>
    </row>
    <row r="359" spans="1:21" x14ac:dyDescent="0.3">
      <c r="A359" s="26"/>
      <c r="B359" s="29">
        <v>45119</v>
      </c>
      <c r="C359" s="28" t="s">
        <v>10</v>
      </c>
      <c r="D359" s="28" t="s">
        <v>70</v>
      </c>
      <c r="E359" s="28" t="s">
        <v>49</v>
      </c>
      <c r="F359" s="28" t="s">
        <v>36</v>
      </c>
      <c r="G359" s="28" t="s">
        <v>31</v>
      </c>
      <c r="H359" s="28" t="s">
        <v>87</v>
      </c>
      <c r="I359" s="28">
        <v>2250</v>
      </c>
      <c r="J359" s="28">
        <v>73000</v>
      </c>
      <c r="K359" s="28">
        <v>3650</v>
      </c>
      <c r="L359" s="28">
        <v>182</v>
      </c>
      <c r="M359" s="28">
        <v>0.05</v>
      </c>
      <c r="N359" s="28">
        <v>27375</v>
      </c>
      <c r="O359" s="28">
        <v>0.05</v>
      </c>
      <c r="P359" s="28">
        <v>0.62</v>
      </c>
      <c r="Q359" s="28">
        <v>11.17</v>
      </c>
      <c r="R359" s="26"/>
      <c r="S359" s="26"/>
      <c r="T359" s="26"/>
      <c r="U359" s="26"/>
    </row>
    <row r="360" spans="1:21" x14ac:dyDescent="0.3">
      <c r="A360" s="26"/>
      <c r="B360" s="29">
        <v>45126</v>
      </c>
      <c r="C360" s="28" t="s">
        <v>12</v>
      </c>
      <c r="D360" s="28" t="s">
        <v>78</v>
      </c>
      <c r="E360" s="28" t="s">
        <v>48</v>
      </c>
      <c r="F360" s="28" t="s">
        <v>45</v>
      </c>
      <c r="G360" s="28" t="s">
        <v>30</v>
      </c>
      <c r="H360" s="28" t="s">
        <v>87</v>
      </c>
      <c r="I360" s="28">
        <v>5500</v>
      </c>
      <c r="J360" s="28">
        <v>59000</v>
      </c>
      <c r="K360" s="28">
        <v>1770</v>
      </c>
      <c r="L360" s="28">
        <v>88</v>
      </c>
      <c r="M360" s="28">
        <v>0.05</v>
      </c>
      <c r="N360" s="28">
        <v>22125</v>
      </c>
      <c r="O360" s="28">
        <v>0.03</v>
      </c>
      <c r="P360" s="28">
        <v>3.11</v>
      </c>
      <c r="Q360" s="28">
        <v>3.02</v>
      </c>
      <c r="R360" s="26"/>
      <c r="S360" s="26"/>
      <c r="T360" s="26"/>
      <c r="U360" s="26"/>
    </row>
    <row r="361" spans="1:21" x14ac:dyDescent="0.3">
      <c r="A361" s="26"/>
      <c r="B361" s="29">
        <v>45133</v>
      </c>
      <c r="C361" s="28" t="s">
        <v>11</v>
      </c>
      <c r="D361" s="28" t="s">
        <v>80</v>
      </c>
      <c r="E361" s="28" t="s">
        <v>48</v>
      </c>
      <c r="F361" s="28" t="s">
        <v>44</v>
      </c>
      <c r="G361" s="28" t="s">
        <v>33</v>
      </c>
      <c r="H361" s="28" t="s">
        <v>87</v>
      </c>
      <c r="I361" s="28">
        <v>3250</v>
      </c>
      <c r="J361" s="28">
        <v>99000</v>
      </c>
      <c r="K361" s="28">
        <v>3960</v>
      </c>
      <c r="L361" s="28">
        <v>198</v>
      </c>
      <c r="M361" s="28">
        <v>0.05</v>
      </c>
      <c r="N361" s="28">
        <v>29700</v>
      </c>
      <c r="O361" s="28">
        <v>0.04</v>
      </c>
      <c r="P361" s="28">
        <v>0.82</v>
      </c>
      <c r="Q361" s="28">
        <v>8.14</v>
      </c>
      <c r="R361" s="26"/>
      <c r="S361" s="26"/>
      <c r="T361" s="26"/>
      <c r="U361" s="26"/>
    </row>
    <row r="362" spans="1:21" x14ac:dyDescent="0.3">
      <c r="A362" s="26"/>
      <c r="B362" s="29">
        <v>45140</v>
      </c>
      <c r="C362" s="28" t="s">
        <v>11</v>
      </c>
      <c r="D362" s="28" t="s">
        <v>76</v>
      </c>
      <c r="E362" s="28" t="s">
        <v>49</v>
      </c>
      <c r="F362" s="28" t="s">
        <v>34</v>
      </c>
      <c r="G362" s="28" t="s">
        <v>31</v>
      </c>
      <c r="H362" s="28" t="s">
        <v>87</v>
      </c>
      <c r="I362" s="28">
        <v>2050</v>
      </c>
      <c r="J362" s="28">
        <v>71000</v>
      </c>
      <c r="K362" s="28">
        <v>3550</v>
      </c>
      <c r="L362" s="28">
        <v>178</v>
      </c>
      <c r="M362" s="28">
        <v>0.05</v>
      </c>
      <c r="N362" s="28">
        <v>26625</v>
      </c>
      <c r="O362" s="28">
        <v>0.05</v>
      </c>
      <c r="P362" s="28">
        <v>0.57999999999999996</v>
      </c>
      <c r="Q362" s="28">
        <v>11.99</v>
      </c>
      <c r="R362" s="26"/>
      <c r="S362" s="26"/>
      <c r="T362" s="26"/>
      <c r="U362" s="26"/>
    </row>
    <row r="363" spans="1:21" x14ac:dyDescent="0.3">
      <c r="A363" s="26"/>
      <c r="B363" s="29">
        <v>45147</v>
      </c>
      <c r="C363" s="28" t="s">
        <v>12</v>
      </c>
      <c r="D363" s="28" t="s">
        <v>80</v>
      </c>
      <c r="E363" s="28" t="s">
        <v>48</v>
      </c>
      <c r="F363" s="28" t="s">
        <v>45</v>
      </c>
      <c r="G363" s="28" t="s">
        <v>32</v>
      </c>
      <c r="H363" s="28" t="s">
        <v>87</v>
      </c>
      <c r="I363" s="28">
        <v>3850</v>
      </c>
      <c r="J363" s="28">
        <v>119000</v>
      </c>
      <c r="K363" s="28">
        <v>4760</v>
      </c>
      <c r="L363" s="28">
        <v>238</v>
      </c>
      <c r="M363" s="28">
        <v>0.05</v>
      </c>
      <c r="N363" s="28">
        <v>35700</v>
      </c>
      <c r="O363" s="28">
        <v>0.04</v>
      </c>
      <c r="P363" s="28">
        <v>0.81</v>
      </c>
      <c r="Q363" s="28">
        <v>8.27</v>
      </c>
      <c r="R363" s="26"/>
      <c r="S363" s="26"/>
      <c r="T363" s="26"/>
      <c r="U363" s="26"/>
    </row>
    <row r="364" spans="1:21" x14ac:dyDescent="0.3">
      <c r="A364" s="26"/>
      <c r="B364" s="29">
        <v>45154</v>
      </c>
      <c r="C364" s="28" t="s">
        <v>11</v>
      </c>
      <c r="D364" s="28" t="s">
        <v>69</v>
      </c>
      <c r="E364" s="28" t="s">
        <v>47</v>
      </c>
      <c r="F364" s="28" t="s">
        <v>45</v>
      </c>
      <c r="G364" s="28" t="s">
        <v>31</v>
      </c>
      <c r="H364" s="28" t="s">
        <v>87</v>
      </c>
      <c r="I364" s="28">
        <v>2550</v>
      </c>
      <c r="J364" s="28">
        <v>79000</v>
      </c>
      <c r="K364" s="28">
        <v>3950</v>
      </c>
      <c r="L364" s="28">
        <v>198</v>
      </c>
      <c r="M364" s="28">
        <v>0.05</v>
      </c>
      <c r="N364" s="28">
        <v>29625</v>
      </c>
      <c r="O364" s="28">
        <v>0.05</v>
      </c>
      <c r="P364" s="28">
        <v>0.65</v>
      </c>
      <c r="Q364" s="28">
        <v>10.62</v>
      </c>
      <c r="R364" s="26"/>
      <c r="S364" s="26"/>
      <c r="T364" s="26"/>
      <c r="U364" s="26"/>
    </row>
    <row r="365" spans="1:21" x14ac:dyDescent="0.3">
      <c r="A365" s="26"/>
      <c r="B365" s="29">
        <v>45161</v>
      </c>
      <c r="C365" s="28" t="s">
        <v>11</v>
      </c>
      <c r="D365" s="28" t="s">
        <v>80</v>
      </c>
      <c r="E365" s="28" t="s">
        <v>48</v>
      </c>
      <c r="F365" s="28" t="s">
        <v>40</v>
      </c>
      <c r="G365" s="28" t="s">
        <v>30</v>
      </c>
      <c r="H365" s="28" t="s">
        <v>87</v>
      </c>
      <c r="I365" s="28">
        <v>5300</v>
      </c>
      <c r="J365" s="28">
        <v>57000</v>
      </c>
      <c r="K365" s="28">
        <v>1710</v>
      </c>
      <c r="L365" s="28">
        <v>86</v>
      </c>
      <c r="M365" s="28">
        <v>0.05</v>
      </c>
      <c r="N365" s="28">
        <v>21375</v>
      </c>
      <c r="O365" s="28">
        <v>0.03</v>
      </c>
      <c r="P365" s="28">
        <v>3.1</v>
      </c>
      <c r="Q365" s="28">
        <v>3.03</v>
      </c>
      <c r="R365" s="26"/>
      <c r="S365" s="26"/>
      <c r="T365" s="26"/>
      <c r="U365" s="26"/>
    </row>
    <row r="366" spans="1:21" x14ac:dyDescent="0.3">
      <c r="A366" s="26"/>
      <c r="B366" s="29">
        <v>45168</v>
      </c>
      <c r="C366" s="28" t="s">
        <v>10</v>
      </c>
      <c r="D366" s="28" t="s">
        <v>82</v>
      </c>
      <c r="E366" s="28" t="s">
        <v>47</v>
      </c>
      <c r="F366" s="28" t="s">
        <v>45</v>
      </c>
      <c r="G366" s="28" t="s">
        <v>33</v>
      </c>
      <c r="H366" s="28" t="s">
        <v>87</v>
      </c>
      <c r="I366" s="28">
        <v>3150</v>
      </c>
      <c r="J366" s="28">
        <v>96000</v>
      </c>
      <c r="K366" s="28">
        <v>3840</v>
      </c>
      <c r="L366" s="28">
        <v>192</v>
      </c>
      <c r="M366" s="28">
        <v>0.05</v>
      </c>
      <c r="N366" s="28">
        <v>28800</v>
      </c>
      <c r="O366" s="28">
        <v>0.04</v>
      </c>
      <c r="P366" s="28">
        <v>0.82</v>
      </c>
      <c r="Q366" s="28">
        <v>8.14</v>
      </c>
      <c r="R366" s="26"/>
      <c r="S366" s="26"/>
      <c r="T366" s="26"/>
      <c r="U366" s="26"/>
    </row>
    <row r="367" spans="1:21" x14ac:dyDescent="0.3">
      <c r="A367" s="26"/>
      <c r="B367" s="29">
        <v>45175</v>
      </c>
      <c r="C367" s="28" t="s">
        <v>10</v>
      </c>
      <c r="D367" s="28" t="s">
        <v>79</v>
      </c>
      <c r="E367" s="28" t="s">
        <v>47</v>
      </c>
      <c r="F367" s="28" t="s">
        <v>36</v>
      </c>
      <c r="G367" s="28" t="s">
        <v>31</v>
      </c>
      <c r="H367" s="28" t="s">
        <v>87</v>
      </c>
      <c r="I367" s="28">
        <v>2350</v>
      </c>
      <c r="J367" s="28">
        <v>75000</v>
      </c>
      <c r="K367" s="28">
        <v>3750</v>
      </c>
      <c r="L367" s="28">
        <v>188</v>
      </c>
      <c r="M367" s="28">
        <v>0.05</v>
      </c>
      <c r="N367" s="28">
        <v>28125</v>
      </c>
      <c r="O367" s="28">
        <v>0.05</v>
      </c>
      <c r="P367" s="28">
        <v>0.63</v>
      </c>
      <c r="Q367" s="28">
        <v>10.97</v>
      </c>
      <c r="R367" s="26"/>
      <c r="S367" s="26"/>
      <c r="T367" s="26"/>
      <c r="U367" s="26"/>
    </row>
    <row r="368" spans="1:21" x14ac:dyDescent="0.3">
      <c r="A368" s="26"/>
      <c r="B368" s="29">
        <v>45182</v>
      </c>
      <c r="C368" s="28" t="s">
        <v>12</v>
      </c>
      <c r="D368" s="28" t="s">
        <v>73</v>
      </c>
      <c r="E368" s="28" t="s">
        <v>47</v>
      </c>
      <c r="F368" s="28" t="s">
        <v>45</v>
      </c>
      <c r="G368" s="28" t="s">
        <v>32</v>
      </c>
      <c r="H368" s="28" t="s">
        <v>87</v>
      </c>
      <c r="I368" s="28">
        <v>3950</v>
      </c>
      <c r="J368" s="28">
        <v>122000</v>
      </c>
      <c r="K368" s="28">
        <v>4880</v>
      </c>
      <c r="L368" s="28">
        <v>244</v>
      </c>
      <c r="M368" s="28">
        <v>0.05</v>
      </c>
      <c r="N368" s="28">
        <v>36600</v>
      </c>
      <c r="O368" s="28">
        <v>0.04</v>
      </c>
      <c r="P368" s="28">
        <v>0.81</v>
      </c>
      <c r="Q368" s="28">
        <v>8.27</v>
      </c>
      <c r="R368" s="26"/>
      <c r="S368" s="26"/>
      <c r="T368" s="26"/>
      <c r="U368" s="26"/>
    </row>
    <row r="369" spans="1:21" x14ac:dyDescent="0.3">
      <c r="A369" s="26"/>
      <c r="B369" s="29">
        <v>45189</v>
      </c>
      <c r="C369" s="28" t="s">
        <v>11</v>
      </c>
      <c r="D369" s="28" t="s">
        <v>79</v>
      </c>
      <c r="E369" s="28" t="s">
        <v>47</v>
      </c>
      <c r="F369" s="28" t="s">
        <v>41</v>
      </c>
      <c r="G369" s="28" t="s">
        <v>31</v>
      </c>
      <c r="H369" s="28" t="s">
        <v>87</v>
      </c>
      <c r="I369" s="28">
        <v>2650</v>
      </c>
      <c r="J369" s="28">
        <v>81000</v>
      </c>
      <c r="K369" s="28">
        <v>4050</v>
      </c>
      <c r="L369" s="28">
        <v>202</v>
      </c>
      <c r="M369" s="28">
        <v>0.05</v>
      </c>
      <c r="N369" s="28">
        <v>30375</v>
      </c>
      <c r="O369" s="28">
        <v>0.05</v>
      </c>
      <c r="P369" s="28">
        <v>0.65</v>
      </c>
      <c r="Q369" s="28">
        <v>10.46</v>
      </c>
      <c r="R369" s="26"/>
      <c r="S369" s="26"/>
      <c r="T369" s="26"/>
      <c r="U369" s="26"/>
    </row>
    <row r="370" spans="1:21" x14ac:dyDescent="0.3">
      <c r="A370" s="26"/>
      <c r="B370" s="29">
        <v>45196</v>
      </c>
      <c r="C370" s="28" t="s">
        <v>12</v>
      </c>
      <c r="D370" s="28" t="s">
        <v>76</v>
      </c>
      <c r="E370" s="28" t="s">
        <v>49</v>
      </c>
      <c r="F370" s="28" t="s">
        <v>41</v>
      </c>
      <c r="G370" s="28" t="s">
        <v>30</v>
      </c>
      <c r="H370" s="28" t="s">
        <v>88</v>
      </c>
      <c r="I370" s="28">
        <v>5700</v>
      </c>
      <c r="J370" s="28">
        <v>61000</v>
      </c>
      <c r="K370" s="28">
        <v>1830</v>
      </c>
      <c r="L370" s="28">
        <v>92</v>
      </c>
      <c r="M370" s="28">
        <v>0.05</v>
      </c>
      <c r="N370" s="28">
        <v>22875</v>
      </c>
      <c r="O370" s="28">
        <v>0.03</v>
      </c>
      <c r="P370" s="28">
        <v>3.11</v>
      </c>
      <c r="Q370" s="28">
        <v>3.01</v>
      </c>
      <c r="R370" s="26"/>
      <c r="S370" s="26"/>
      <c r="T370" s="26"/>
      <c r="U370" s="26"/>
    </row>
    <row r="371" spans="1:21" x14ac:dyDescent="0.3">
      <c r="A371" s="26"/>
      <c r="B371" s="29">
        <v>45203</v>
      </c>
      <c r="C371" s="28" t="s">
        <v>12</v>
      </c>
      <c r="D371" s="28" t="s">
        <v>74</v>
      </c>
      <c r="E371" s="28" t="s">
        <v>49</v>
      </c>
      <c r="F371" s="28" t="s">
        <v>41</v>
      </c>
      <c r="G371" s="28" t="s">
        <v>33</v>
      </c>
      <c r="H371" s="28" t="s">
        <v>88</v>
      </c>
      <c r="I371" s="28">
        <v>3450</v>
      </c>
      <c r="J371" s="28">
        <v>104000</v>
      </c>
      <c r="K371" s="28">
        <v>4160</v>
      </c>
      <c r="L371" s="28">
        <v>208</v>
      </c>
      <c r="M371" s="28">
        <v>0.05</v>
      </c>
      <c r="N371" s="28">
        <v>31200</v>
      </c>
      <c r="O371" s="28">
        <v>0.04</v>
      </c>
      <c r="P371" s="28">
        <v>0.83</v>
      </c>
      <c r="Q371" s="28">
        <v>8.0399999999999991</v>
      </c>
      <c r="R371" s="26"/>
      <c r="S371" s="26"/>
      <c r="T371" s="26"/>
      <c r="U371" s="26"/>
    </row>
    <row r="372" spans="1:21" x14ac:dyDescent="0.3">
      <c r="A372" s="26"/>
      <c r="B372" s="29">
        <v>45210</v>
      </c>
      <c r="C372" s="28" t="s">
        <v>10</v>
      </c>
      <c r="D372" s="28" t="s">
        <v>78</v>
      </c>
      <c r="E372" s="28" t="s">
        <v>48</v>
      </c>
      <c r="F372" s="28" t="s">
        <v>45</v>
      </c>
      <c r="G372" s="28" t="s">
        <v>31</v>
      </c>
      <c r="H372" s="28" t="s">
        <v>88</v>
      </c>
      <c r="I372" s="28">
        <v>2750</v>
      </c>
      <c r="J372" s="28">
        <v>83000</v>
      </c>
      <c r="K372" s="28">
        <v>4150</v>
      </c>
      <c r="L372" s="28">
        <v>208</v>
      </c>
      <c r="M372" s="28">
        <v>0.05</v>
      </c>
      <c r="N372" s="28">
        <v>31125</v>
      </c>
      <c r="O372" s="28">
        <v>0.05</v>
      </c>
      <c r="P372" s="28">
        <v>0.66</v>
      </c>
      <c r="Q372" s="28">
        <v>10.32</v>
      </c>
      <c r="R372" s="26"/>
      <c r="S372" s="26"/>
      <c r="T372" s="26"/>
      <c r="U372" s="26"/>
    </row>
    <row r="373" spans="1:21" x14ac:dyDescent="0.3">
      <c r="A373" s="26"/>
      <c r="B373" s="29">
        <v>45217</v>
      </c>
      <c r="C373" s="28" t="s">
        <v>11</v>
      </c>
      <c r="D373" s="28" t="s">
        <v>75</v>
      </c>
      <c r="E373" s="28" t="s">
        <v>47</v>
      </c>
      <c r="F373" s="28" t="s">
        <v>45</v>
      </c>
      <c r="G373" s="28" t="s">
        <v>32</v>
      </c>
      <c r="H373" s="28" t="s">
        <v>88</v>
      </c>
      <c r="I373" s="28">
        <v>3750</v>
      </c>
      <c r="J373" s="28">
        <v>117000</v>
      </c>
      <c r="K373" s="28">
        <v>4680</v>
      </c>
      <c r="L373" s="28">
        <v>234</v>
      </c>
      <c r="M373" s="28">
        <v>0.05</v>
      </c>
      <c r="N373" s="28">
        <v>35100</v>
      </c>
      <c r="O373" s="28">
        <v>0.04</v>
      </c>
      <c r="P373" s="28">
        <v>0.8</v>
      </c>
      <c r="Q373" s="28">
        <v>8.36</v>
      </c>
      <c r="R373" s="26"/>
      <c r="S373" s="26"/>
      <c r="T373" s="26"/>
      <c r="U373" s="26"/>
    </row>
    <row r="374" spans="1:21" x14ac:dyDescent="0.3">
      <c r="A374" s="26"/>
      <c r="B374" s="29">
        <v>45224</v>
      </c>
      <c r="C374" s="28" t="s">
        <v>12</v>
      </c>
      <c r="D374" s="28" t="s">
        <v>70</v>
      </c>
      <c r="E374" s="28" t="s">
        <v>49</v>
      </c>
      <c r="F374" s="28" t="s">
        <v>41</v>
      </c>
      <c r="G374" s="28" t="s">
        <v>31</v>
      </c>
      <c r="H374" s="28" t="s">
        <v>88</v>
      </c>
      <c r="I374" s="28">
        <v>2450</v>
      </c>
      <c r="J374" s="28">
        <v>77000</v>
      </c>
      <c r="K374" s="28">
        <v>3850</v>
      </c>
      <c r="L374" s="28">
        <v>192</v>
      </c>
      <c r="M374" s="28">
        <v>0.05</v>
      </c>
      <c r="N374" s="28">
        <v>28875</v>
      </c>
      <c r="O374" s="28">
        <v>0.05</v>
      </c>
      <c r="P374" s="28">
        <v>0.64</v>
      </c>
      <c r="Q374" s="28">
        <v>10.79</v>
      </c>
      <c r="R374" s="26"/>
      <c r="S374" s="26"/>
      <c r="T374" s="26"/>
      <c r="U374" s="26"/>
    </row>
    <row r="375" spans="1:21" x14ac:dyDescent="0.3">
      <c r="A375" s="26"/>
      <c r="B375" s="29">
        <v>45231</v>
      </c>
      <c r="C375" s="28" t="s">
        <v>10</v>
      </c>
      <c r="D375" s="28" t="s">
        <v>77</v>
      </c>
      <c r="E375" s="28" t="s">
        <v>49</v>
      </c>
      <c r="F375" s="28" t="s">
        <v>42</v>
      </c>
      <c r="G375" s="28" t="s">
        <v>30</v>
      </c>
      <c r="H375" s="28" t="s">
        <v>88</v>
      </c>
      <c r="I375" s="28">
        <v>5900</v>
      </c>
      <c r="J375" s="28">
        <v>62000</v>
      </c>
      <c r="K375" s="28">
        <v>1860</v>
      </c>
      <c r="L375" s="28">
        <v>93</v>
      </c>
      <c r="M375" s="28">
        <v>0.05</v>
      </c>
      <c r="N375" s="28">
        <v>23250</v>
      </c>
      <c r="O375" s="28">
        <v>0.03</v>
      </c>
      <c r="P375" s="28">
        <v>3.17</v>
      </c>
      <c r="Q375" s="28">
        <v>2.94</v>
      </c>
      <c r="R375" s="26"/>
      <c r="S375" s="26"/>
      <c r="T375" s="26"/>
      <c r="U375" s="26"/>
    </row>
    <row r="376" spans="1:21" x14ac:dyDescent="0.3">
      <c r="A376" s="26"/>
      <c r="B376" s="29">
        <v>45238</v>
      </c>
      <c r="C376" s="28" t="s">
        <v>13</v>
      </c>
      <c r="D376" s="28" t="s">
        <v>80</v>
      </c>
      <c r="E376" s="28" t="s">
        <v>48</v>
      </c>
      <c r="F376" s="28" t="s">
        <v>44</v>
      </c>
      <c r="G376" s="28" t="s">
        <v>33</v>
      </c>
      <c r="H376" s="28" t="s">
        <v>88</v>
      </c>
      <c r="I376" s="28">
        <v>3550</v>
      </c>
      <c r="J376" s="28">
        <v>107000</v>
      </c>
      <c r="K376" s="28">
        <v>4280</v>
      </c>
      <c r="L376" s="28">
        <v>214</v>
      </c>
      <c r="M376" s="28">
        <v>0.05</v>
      </c>
      <c r="N376" s="28">
        <v>32100</v>
      </c>
      <c r="O376" s="28">
        <v>0.04</v>
      </c>
      <c r="P376" s="28">
        <v>0.83</v>
      </c>
      <c r="Q376" s="28">
        <v>8.0399999999999991</v>
      </c>
      <c r="R376" s="26"/>
      <c r="S376" s="26"/>
      <c r="T376" s="26"/>
      <c r="U376" s="26"/>
    </row>
    <row r="377" spans="1:21" x14ac:dyDescent="0.3">
      <c r="A377" s="26"/>
      <c r="B377" s="29">
        <v>45245</v>
      </c>
      <c r="C377" s="28" t="s">
        <v>12</v>
      </c>
      <c r="D377" s="28" t="s">
        <v>70</v>
      </c>
      <c r="E377" s="28" t="s">
        <v>49</v>
      </c>
      <c r="F377" s="28" t="s">
        <v>41</v>
      </c>
      <c r="G377" s="28" t="s">
        <v>31</v>
      </c>
      <c r="H377" s="28" t="s">
        <v>88</v>
      </c>
      <c r="I377" s="28">
        <v>2850</v>
      </c>
      <c r="J377" s="28">
        <v>85000</v>
      </c>
      <c r="K377" s="28">
        <v>4250</v>
      </c>
      <c r="L377" s="28">
        <v>212</v>
      </c>
      <c r="M377" s="28">
        <v>0.05</v>
      </c>
      <c r="N377" s="28">
        <v>31875</v>
      </c>
      <c r="O377" s="28">
        <v>0.05</v>
      </c>
      <c r="P377" s="28">
        <v>0.67</v>
      </c>
      <c r="Q377" s="28">
        <v>10.18</v>
      </c>
      <c r="R377" s="26"/>
      <c r="S377" s="26"/>
      <c r="T377" s="26"/>
      <c r="U377" s="26"/>
    </row>
    <row r="378" spans="1:21" x14ac:dyDescent="0.3">
      <c r="A378" s="26"/>
      <c r="B378" s="29">
        <v>45252</v>
      </c>
      <c r="C378" s="28" t="s">
        <v>10</v>
      </c>
      <c r="D378" s="28" t="s">
        <v>67</v>
      </c>
      <c r="E378" s="28" t="s">
        <v>48</v>
      </c>
      <c r="F378" s="28" t="s">
        <v>42</v>
      </c>
      <c r="G378" s="28" t="s">
        <v>32</v>
      </c>
      <c r="H378" s="28" t="s">
        <v>88</v>
      </c>
      <c r="I378" s="28">
        <v>3950</v>
      </c>
      <c r="J378" s="28">
        <v>121000</v>
      </c>
      <c r="K378" s="28">
        <v>4840</v>
      </c>
      <c r="L378" s="28">
        <v>242</v>
      </c>
      <c r="M378" s="28">
        <v>0.05</v>
      </c>
      <c r="N378" s="28">
        <v>36300</v>
      </c>
      <c r="O378" s="28">
        <v>0.04</v>
      </c>
      <c r="P378" s="28">
        <v>0.82</v>
      </c>
      <c r="Q378" s="28">
        <v>8.19</v>
      </c>
      <c r="R378" s="26"/>
      <c r="S378" s="26"/>
      <c r="T378" s="26"/>
      <c r="U378" s="26"/>
    </row>
    <row r="379" spans="1:21" x14ac:dyDescent="0.3">
      <c r="A379" s="26"/>
      <c r="B379" s="29">
        <v>45259</v>
      </c>
      <c r="C379" s="28" t="s">
        <v>10</v>
      </c>
      <c r="D379" s="28" t="s">
        <v>71</v>
      </c>
      <c r="E379" s="28" t="s">
        <v>48</v>
      </c>
      <c r="F379" s="28" t="s">
        <v>42</v>
      </c>
      <c r="G379" s="28" t="s">
        <v>31</v>
      </c>
      <c r="H379" s="28" t="s">
        <v>88</v>
      </c>
      <c r="I379" s="28">
        <v>2650</v>
      </c>
      <c r="J379" s="28">
        <v>81000</v>
      </c>
      <c r="K379" s="28">
        <v>4050</v>
      </c>
      <c r="L379" s="28">
        <v>202</v>
      </c>
      <c r="M379" s="28">
        <v>0.05</v>
      </c>
      <c r="N379" s="28">
        <v>30375</v>
      </c>
      <c r="O379" s="28">
        <v>0.05</v>
      </c>
      <c r="P379" s="28">
        <v>0.65</v>
      </c>
      <c r="Q379" s="28">
        <v>10.46</v>
      </c>
      <c r="R379" s="26"/>
      <c r="S379" s="26"/>
      <c r="T379" s="26"/>
      <c r="U379" s="26"/>
    </row>
    <row r="380" spans="1:21" x14ac:dyDescent="0.3">
      <c r="A380" s="26"/>
      <c r="B380" s="29">
        <v>45266</v>
      </c>
      <c r="C380" s="28" t="s">
        <v>11</v>
      </c>
      <c r="D380" s="28" t="s">
        <v>69</v>
      </c>
      <c r="E380" s="28" t="s">
        <v>47</v>
      </c>
      <c r="F380" s="28" t="s">
        <v>43</v>
      </c>
      <c r="G380" s="28" t="s">
        <v>30</v>
      </c>
      <c r="H380" s="28" t="s">
        <v>88</v>
      </c>
      <c r="I380" s="28">
        <v>5800</v>
      </c>
      <c r="J380" s="28">
        <v>61000</v>
      </c>
      <c r="K380" s="28">
        <v>1830</v>
      </c>
      <c r="L380" s="28">
        <v>92</v>
      </c>
      <c r="M380" s="28">
        <v>0.05</v>
      </c>
      <c r="N380" s="28">
        <v>22875</v>
      </c>
      <c r="O380" s="28">
        <v>0.03</v>
      </c>
      <c r="P380" s="28">
        <v>3.17</v>
      </c>
      <c r="Q380" s="28">
        <v>2.94</v>
      </c>
      <c r="R380" s="26"/>
      <c r="S380" s="26"/>
      <c r="T380" s="26"/>
      <c r="U380" s="26"/>
    </row>
    <row r="381" spans="1:21" x14ac:dyDescent="0.3">
      <c r="A381" s="26"/>
      <c r="B381" s="29">
        <v>45273</v>
      </c>
      <c r="C381" s="28" t="s">
        <v>12</v>
      </c>
      <c r="D381" s="28" t="s">
        <v>71</v>
      </c>
      <c r="E381" s="28" t="s">
        <v>48</v>
      </c>
      <c r="F381" s="28" t="s">
        <v>45</v>
      </c>
      <c r="G381" s="28" t="s">
        <v>33</v>
      </c>
      <c r="H381" s="28" t="s">
        <v>88</v>
      </c>
      <c r="I381" s="28">
        <v>3650</v>
      </c>
      <c r="J381" s="28">
        <v>110000</v>
      </c>
      <c r="K381" s="28">
        <v>4400</v>
      </c>
      <c r="L381" s="28">
        <v>220</v>
      </c>
      <c r="M381" s="28">
        <v>0.05</v>
      </c>
      <c r="N381" s="28">
        <v>33000</v>
      </c>
      <c r="O381" s="28">
        <v>0.04</v>
      </c>
      <c r="P381" s="28">
        <v>0.83</v>
      </c>
      <c r="Q381" s="28">
        <v>8.0399999999999991</v>
      </c>
      <c r="R381" s="26"/>
      <c r="S381" s="26"/>
      <c r="T381" s="26"/>
      <c r="U381" s="26"/>
    </row>
    <row r="382" spans="1:21" x14ac:dyDescent="0.3">
      <c r="A382" s="26"/>
      <c r="B382" s="29">
        <v>45280</v>
      </c>
      <c r="C382" s="28" t="s">
        <v>10</v>
      </c>
      <c r="D382" s="28" t="s">
        <v>82</v>
      </c>
      <c r="E382" s="28" t="s">
        <v>47</v>
      </c>
      <c r="F382" s="28" t="s">
        <v>40</v>
      </c>
      <c r="G382" s="28" t="s">
        <v>31</v>
      </c>
      <c r="H382" s="28" t="s">
        <v>88</v>
      </c>
      <c r="I382" s="28">
        <v>2550</v>
      </c>
      <c r="J382" s="28">
        <v>79000</v>
      </c>
      <c r="K382" s="28">
        <v>3950</v>
      </c>
      <c r="L382" s="28">
        <v>198</v>
      </c>
      <c r="M382" s="28">
        <v>0.05</v>
      </c>
      <c r="N382" s="28">
        <v>29625</v>
      </c>
      <c r="O382" s="28">
        <v>0.05</v>
      </c>
      <c r="P382" s="28">
        <v>0.65</v>
      </c>
      <c r="Q382" s="28">
        <v>10.62</v>
      </c>
      <c r="R382" s="26"/>
      <c r="S382" s="26"/>
      <c r="T382" s="26"/>
      <c r="U382" s="26"/>
    </row>
    <row r="383" spans="1:21" x14ac:dyDescent="0.3">
      <c r="A383" s="26"/>
      <c r="B383" s="29">
        <v>45287</v>
      </c>
      <c r="C383" s="28" t="s">
        <v>13</v>
      </c>
      <c r="D383" s="28" t="s">
        <v>71</v>
      </c>
      <c r="E383" s="28" t="s">
        <v>48</v>
      </c>
      <c r="F383" s="28" t="s">
        <v>44</v>
      </c>
      <c r="G383" s="28" t="s">
        <v>32</v>
      </c>
      <c r="H383" s="28" t="s">
        <v>88</v>
      </c>
      <c r="I383" s="28">
        <v>4050</v>
      </c>
      <c r="J383" s="28">
        <v>124000</v>
      </c>
      <c r="K383" s="28">
        <v>4960</v>
      </c>
      <c r="L383" s="28">
        <v>248</v>
      </c>
      <c r="M383" s="28">
        <v>0.05</v>
      </c>
      <c r="N383" s="28">
        <v>37200</v>
      </c>
      <c r="O383" s="28">
        <v>0.04</v>
      </c>
      <c r="P383" s="28">
        <v>0.82</v>
      </c>
      <c r="Q383" s="28">
        <v>8.19</v>
      </c>
      <c r="R383" s="26"/>
      <c r="S383" s="26"/>
      <c r="T383" s="26"/>
      <c r="U383" s="26"/>
    </row>
    <row r="384" spans="1:21" x14ac:dyDescent="0.3">
      <c r="A384" s="26"/>
      <c r="B384" s="29">
        <v>45294</v>
      </c>
      <c r="C384" s="28" t="s">
        <v>10</v>
      </c>
      <c r="D384" s="28" t="s">
        <v>78</v>
      </c>
      <c r="E384" s="28" t="s">
        <v>48</v>
      </c>
      <c r="F384" s="28" t="s">
        <v>45</v>
      </c>
      <c r="G384" s="28" t="s">
        <v>31</v>
      </c>
      <c r="H384" s="28" t="s">
        <v>85</v>
      </c>
      <c r="I384" s="28">
        <v>1550</v>
      </c>
      <c r="J384" s="28">
        <v>60000</v>
      </c>
      <c r="K384" s="28">
        <v>3000</v>
      </c>
      <c r="L384" s="28">
        <v>150</v>
      </c>
      <c r="M384" s="28">
        <v>0.05</v>
      </c>
      <c r="N384" s="28">
        <v>22500</v>
      </c>
      <c r="O384" s="28">
        <v>0.05</v>
      </c>
      <c r="P384" s="28">
        <v>0.52</v>
      </c>
      <c r="Q384" s="28">
        <v>13.52</v>
      </c>
      <c r="R384" s="26"/>
      <c r="S384" s="26"/>
      <c r="T384" s="26"/>
      <c r="U384" s="26"/>
    </row>
    <row r="385" spans="1:21" x14ac:dyDescent="0.3">
      <c r="A385" s="26"/>
      <c r="B385" s="29">
        <v>45301</v>
      </c>
      <c r="C385" s="28" t="s">
        <v>13</v>
      </c>
      <c r="D385" s="28" t="s">
        <v>77</v>
      </c>
      <c r="E385" s="28" t="s">
        <v>49</v>
      </c>
      <c r="F385" s="28" t="s">
        <v>45</v>
      </c>
      <c r="G385" s="28" t="s">
        <v>32</v>
      </c>
      <c r="H385" s="28" t="s">
        <v>85</v>
      </c>
      <c r="I385" s="28">
        <v>2950</v>
      </c>
      <c r="J385" s="28">
        <v>92000</v>
      </c>
      <c r="K385" s="28">
        <v>3680</v>
      </c>
      <c r="L385" s="28">
        <v>184</v>
      </c>
      <c r="M385" s="28">
        <v>0.05</v>
      </c>
      <c r="N385" s="28">
        <v>27600</v>
      </c>
      <c r="O385" s="28">
        <v>0.04</v>
      </c>
      <c r="P385" s="28">
        <v>0.8</v>
      </c>
      <c r="Q385" s="28">
        <v>8.36</v>
      </c>
      <c r="R385" s="26"/>
      <c r="S385" s="26"/>
      <c r="T385" s="26"/>
      <c r="U385" s="26"/>
    </row>
    <row r="386" spans="1:21" x14ac:dyDescent="0.3">
      <c r="A386" s="26"/>
      <c r="B386" s="29">
        <v>45308</v>
      </c>
      <c r="C386" s="28" t="s">
        <v>11</v>
      </c>
      <c r="D386" s="28" t="s">
        <v>65</v>
      </c>
      <c r="E386" s="28" t="s">
        <v>47</v>
      </c>
      <c r="F386" s="28" t="s">
        <v>34</v>
      </c>
      <c r="G386" s="28" t="s">
        <v>33</v>
      </c>
      <c r="H386" s="28" t="s">
        <v>85</v>
      </c>
      <c r="I386" s="28">
        <v>2350</v>
      </c>
      <c r="J386" s="28">
        <v>75000</v>
      </c>
      <c r="K386" s="28">
        <v>3750</v>
      </c>
      <c r="L386" s="28">
        <v>188</v>
      </c>
      <c r="M386" s="28">
        <v>0.05</v>
      </c>
      <c r="N386" s="28">
        <v>28125</v>
      </c>
      <c r="O386" s="28">
        <v>0.05</v>
      </c>
      <c r="P386" s="28">
        <v>0.63</v>
      </c>
      <c r="Q386" s="28">
        <v>10.97</v>
      </c>
      <c r="R386" s="26"/>
      <c r="S386" s="26"/>
      <c r="T386" s="26"/>
      <c r="U386" s="26"/>
    </row>
    <row r="387" spans="1:21" x14ac:dyDescent="0.3">
      <c r="A387" s="26"/>
      <c r="B387" s="29">
        <v>45315</v>
      </c>
      <c r="C387" s="28" t="s">
        <v>11</v>
      </c>
      <c r="D387" s="28" t="s">
        <v>78</v>
      </c>
      <c r="E387" s="28" t="s">
        <v>48</v>
      </c>
      <c r="F387" s="28" t="s">
        <v>41</v>
      </c>
      <c r="G387" s="28" t="s">
        <v>30</v>
      </c>
      <c r="H387" s="28" t="s">
        <v>85</v>
      </c>
      <c r="I387" s="28">
        <v>4900</v>
      </c>
      <c r="J387" s="28">
        <v>53000</v>
      </c>
      <c r="K387" s="28">
        <v>1590</v>
      </c>
      <c r="L387" s="28">
        <v>80</v>
      </c>
      <c r="M387" s="28">
        <v>0.05</v>
      </c>
      <c r="N387" s="28">
        <v>19875</v>
      </c>
      <c r="O387" s="28">
        <v>0.03</v>
      </c>
      <c r="P387" s="28">
        <v>3.08</v>
      </c>
      <c r="Q387" s="28">
        <v>3.06</v>
      </c>
      <c r="R387" s="26"/>
      <c r="S387" s="26"/>
      <c r="T387" s="26"/>
      <c r="U387" s="26"/>
    </row>
    <row r="388" spans="1:21" x14ac:dyDescent="0.3">
      <c r="A388" s="26"/>
      <c r="B388" s="29">
        <v>45322</v>
      </c>
      <c r="C388" s="28" t="s">
        <v>12</v>
      </c>
      <c r="D388" s="28" t="s">
        <v>81</v>
      </c>
      <c r="E388" s="28" t="s">
        <v>48</v>
      </c>
      <c r="F388" s="28" t="s">
        <v>41</v>
      </c>
      <c r="G388" s="28" t="s">
        <v>33</v>
      </c>
      <c r="H388" s="28" t="s">
        <v>85</v>
      </c>
      <c r="I388" s="28">
        <v>3050</v>
      </c>
      <c r="J388" s="28">
        <v>93000</v>
      </c>
      <c r="K388" s="28">
        <v>3720</v>
      </c>
      <c r="L388" s="28">
        <v>186</v>
      </c>
      <c r="M388" s="28">
        <v>0.05</v>
      </c>
      <c r="N388" s="28">
        <v>27900</v>
      </c>
      <c r="O388" s="28">
        <v>0.04</v>
      </c>
      <c r="P388" s="28">
        <v>0.82</v>
      </c>
      <c r="Q388" s="28">
        <v>8.15</v>
      </c>
      <c r="R388" s="26"/>
      <c r="S388" s="26"/>
      <c r="T388" s="26"/>
      <c r="U388" s="26"/>
    </row>
    <row r="389" spans="1:21" x14ac:dyDescent="0.3">
      <c r="A389" s="26"/>
      <c r="B389" s="29">
        <v>45329</v>
      </c>
      <c r="C389" s="28" t="s">
        <v>13</v>
      </c>
      <c r="D389" s="28" t="s">
        <v>82</v>
      </c>
      <c r="E389" s="28" t="s">
        <v>47</v>
      </c>
      <c r="F389" s="28" t="s">
        <v>42</v>
      </c>
      <c r="G389" s="28" t="s">
        <v>31</v>
      </c>
      <c r="H389" s="28" t="s">
        <v>85</v>
      </c>
      <c r="I389" s="28">
        <v>1850</v>
      </c>
      <c r="J389" s="28">
        <v>65000</v>
      </c>
      <c r="K389" s="28">
        <v>3250</v>
      </c>
      <c r="L389" s="28">
        <v>162</v>
      </c>
      <c r="M389" s="28">
        <v>0.05</v>
      </c>
      <c r="N389" s="28">
        <v>24375</v>
      </c>
      <c r="O389" s="28">
        <v>0.05</v>
      </c>
      <c r="P389" s="28">
        <v>0.56999999999999995</v>
      </c>
      <c r="Q389" s="28">
        <v>12.18</v>
      </c>
      <c r="R389" s="26"/>
      <c r="S389" s="26"/>
      <c r="T389" s="26"/>
      <c r="U389" s="26"/>
    </row>
    <row r="390" spans="1:21" x14ac:dyDescent="0.3">
      <c r="A390" s="26"/>
      <c r="B390" s="29">
        <v>45336</v>
      </c>
      <c r="C390" s="28" t="s">
        <v>13</v>
      </c>
      <c r="D390" s="28" t="s">
        <v>66</v>
      </c>
      <c r="E390" s="28" t="s">
        <v>48</v>
      </c>
      <c r="F390" s="28" t="s">
        <v>36</v>
      </c>
      <c r="G390" s="28" t="s">
        <v>32</v>
      </c>
      <c r="H390" s="28" t="s">
        <v>85</v>
      </c>
      <c r="I390" s="28">
        <v>3450</v>
      </c>
      <c r="J390" s="28">
        <v>108000</v>
      </c>
      <c r="K390" s="28">
        <v>4320</v>
      </c>
      <c r="L390" s="28">
        <v>216</v>
      </c>
      <c r="M390" s="28">
        <v>0.05</v>
      </c>
      <c r="N390" s="28">
        <v>32400</v>
      </c>
      <c r="O390" s="28">
        <v>0.04</v>
      </c>
      <c r="P390" s="28">
        <v>0.8</v>
      </c>
      <c r="Q390" s="28">
        <v>8.39</v>
      </c>
      <c r="R390" s="26"/>
      <c r="S390" s="26"/>
      <c r="T390" s="26"/>
      <c r="U390" s="26"/>
    </row>
    <row r="391" spans="1:21" x14ac:dyDescent="0.3">
      <c r="A391" s="26"/>
      <c r="B391" s="29">
        <v>45343</v>
      </c>
      <c r="C391" s="28" t="s">
        <v>12</v>
      </c>
      <c r="D391" s="28" t="s">
        <v>65</v>
      </c>
      <c r="E391" s="28" t="s">
        <v>47</v>
      </c>
      <c r="F391" s="28" t="s">
        <v>45</v>
      </c>
      <c r="G391" s="28" t="s">
        <v>31</v>
      </c>
      <c r="H391" s="28" t="s">
        <v>85</v>
      </c>
      <c r="I391" s="28">
        <v>2050</v>
      </c>
      <c r="J391" s="28">
        <v>70000</v>
      </c>
      <c r="K391" s="28">
        <v>3500</v>
      </c>
      <c r="L391" s="28">
        <v>175</v>
      </c>
      <c r="M391" s="28">
        <v>0.05</v>
      </c>
      <c r="N391" s="28">
        <v>26250</v>
      </c>
      <c r="O391" s="28">
        <v>0.05</v>
      </c>
      <c r="P391" s="28">
        <v>0.59</v>
      </c>
      <c r="Q391" s="28">
        <v>11.8</v>
      </c>
      <c r="R391" s="26"/>
      <c r="S391" s="26"/>
      <c r="T391" s="26"/>
      <c r="U391" s="26"/>
    </row>
    <row r="392" spans="1:21" x14ac:dyDescent="0.3">
      <c r="A392" s="26"/>
      <c r="B392" s="29">
        <v>45350</v>
      </c>
      <c r="C392" s="28" t="s">
        <v>12</v>
      </c>
      <c r="D392" s="28" t="s">
        <v>80</v>
      </c>
      <c r="E392" s="28" t="s">
        <v>48</v>
      </c>
      <c r="F392" s="28" t="s">
        <v>45</v>
      </c>
      <c r="G392" s="28" t="s">
        <v>30</v>
      </c>
      <c r="H392" s="28" t="s">
        <v>85</v>
      </c>
      <c r="I392" s="28">
        <v>5400</v>
      </c>
      <c r="J392" s="28">
        <v>58000</v>
      </c>
      <c r="K392" s="28">
        <v>1740</v>
      </c>
      <c r="L392" s="28">
        <v>87</v>
      </c>
      <c r="M392" s="28">
        <v>0.05</v>
      </c>
      <c r="N392" s="28">
        <v>21750</v>
      </c>
      <c r="O392" s="28">
        <v>0.03</v>
      </c>
      <c r="P392" s="28">
        <v>3.1</v>
      </c>
      <c r="Q392" s="28">
        <v>3.03</v>
      </c>
      <c r="R392" s="26"/>
      <c r="S392" s="26"/>
      <c r="T392" s="26"/>
      <c r="U392" s="26"/>
    </row>
    <row r="393" spans="1:21" x14ac:dyDescent="0.3">
      <c r="A393" s="26"/>
      <c r="B393" s="29">
        <v>45357</v>
      </c>
      <c r="C393" s="28" t="s">
        <v>11</v>
      </c>
      <c r="D393" s="28" t="s">
        <v>70</v>
      </c>
      <c r="E393" s="28" t="s">
        <v>49</v>
      </c>
      <c r="F393" s="28" t="s">
        <v>45</v>
      </c>
      <c r="G393" s="28" t="s">
        <v>33</v>
      </c>
      <c r="H393" s="28" t="s">
        <v>85</v>
      </c>
      <c r="I393" s="28">
        <v>2850</v>
      </c>
      <c r="J393" s="28">
        <v>89000</v>
      </c>
      <c r="K393" s="28">
        <v>3560</v>
      </c>
      <c r="L393" s="28">
        <v>178</v>
      </c>
      <c r="M393" s="28">
        <v>0.05</v>
      </c>
      <c r="N393" s="28">
        <v>26700</v>
      </c>
      <c r="O393" s="28">
        <v>0.04</v>
      </c>
      <c r="P393" s="28">
        <v>0.8</v>
      </c>
      <c r="Q393" s="28">
        <v>8.3699999999999992</v>
      </c>
      <c r="R393" s="26"/>
      <c r="S393" s="26"/>
      <c r="T393" s="26"/>
      <c r="U393" s="26"/>
    </row>
    <row r="394" spans="1:21" x14ac:dyDescent="0.3">
      <c r="A394" s="26"/>
      <c r="B394" s="29">
        <v>45364</v>
      </c>
      <c r="C394" s="28" t="s">
        <v>12</v>
      </c>
      <c r="D394" s="28" t="s">
        <v>78</v>
      </c>
      <c r="E394" s="28" t="s">
        <v>48</v>
      </c>
      <c r="F394" s="28" t="s">
        <v>41</v>
      </c>
      <c r="G394" s="28" t="s">
        <v>31</v>
      </c>
      <c r="H394" s="28" t="s">
        <v>85</v>
      </c>
      <c r="I394" s="28">
        <v>2150</v>
      </c>
      <c r="J394" s="28">
        <v>72000</v>
      </c>
      <c r="K394" s="28">
        <v>3600</v>
      </c>
      <c r="L394" s="28">
        <v>180</v>
      </c>
      <c r="M394" s="28">
        <v>0.05</v>
      </c>
      <c r="N394" s="28">
        <v>27000</v>
      </c>
      <c r="O394" s="28">
        <v>0.05</v>
      </c>
      <c r="P394" s="28">
        <v>0.6</v>
      </c>
      <c r="Q394" s="28">
        <v>11.56</v>
      </c>
      <c r="R394" s="26"/>
      <c r="S394" s="26"/>
      <c r="T394" s="26"/>
      <c r="U394" s="26"/>
    </row>
    <row r="395" spans="1:21" x14ac:dyDescent="0.3">
      <c r="A395" s="26"/>
      <c r="B395" s="29">
        <v>45371</v>
      </c>
      <c r="C395" s="28" t="s">
        <v>13</v>
      </c>
      <c r="D395" s="28" t="s">
        <v>66</v>
      </c>
      <c r="E395" s="28" t="s">
        <v>48</v>
      </c>
      <c r="F395" s="28" t="s">
        <v>38</v>
      </c>
      <c r="G395" s="28" t="s">
        <v>32</v>
      </c>
      <c r="H395" s="28" t="s">
        <v>86</v>
      </c>
      <c r="I395" s="28">
        <v>3650</v>
      </c>
      <c r="J395" s="28">
        <v>114000</v>
      </c>
      <c r="K395" s="28">
        <v>4560</v>
      </c>
      <c r="L395" s="28">
        <v>228</v>
      </c>
      <c r="M395" s="28">
        <v>0.05</v>
      </c>
      <c r="N395" s="28">
        <v>34200</v>
      </c>
      <c r="O395" s="28">
        <v>0.04</v>
      </c>
      <c r="P395" s="28">
        <v>0.8</v>
      </c>
      <c r="Q395" s="28">
        <v>8.3699999999999992</v>
      </c>
      <c r="R395" s="26"/>
      <c r="S395" s="26"/>
      <c r="T395" s="26"/>
      <c r="U395" s="26"/>
    </row>
    <row r="396" spans="1:21" x14ac:dyDescent="0.3">
      <c r="A396" s="26"/>
      <c r="B396" s="29">
        <v>45378</v>
      </c>
      <c r="C396" s="28" t="s">
        <v>13</v>
      </c>
      <c r="D396" s="28" t="s">
        <v>74</v>
      </c>
      <c r="E396" s="28" t="s">
        <v>49</v>
      </c>
      <c r="F396" s="28" t="s">
        <v>36</v>
      </c>
      <c r="G396" s="28" t="s">
        <v>31</v>
      </c>
      <c r="H396" s="28" t="s">
        <v>86</v>
      </c>
      <c r="I396" s="28">
        <v>2450</v>
      </c>
      <c r="J396" s="28">
        <v>77000</v>
      </c>
      <c r="K396" s="28">
        <v>3850</v>
      </c>
      <c r="L396" s="28">
        <v>192</v>
      </c>
      <c r="M396" s="28">
        <v>0.05</v>
      </c>
      <c r="N396" s="28">
        <v>28875</v>
      </c>
      <c r="O396" s="28">
        <v>0.05</v>
      </c>
      <c r="P396" s="28">
        <v>0.64</v>
      </c>
      <c r="Q396" s="28">
        <v>10.79</v>
      </c>
      <c r="R396" s="26"/>
      <c r="S396" s="26"/>
      <c r="T396" s="26"/>
      <c r="U396" s="26"/>
    </row>
    <row r="397" spans="1:21" x14ac:dyDescent="0.3">
      <c r="A397" s="26"/>
      <c r="B397" s="29">
        <v>45385</v>
      </c>
      <c r="C397" s="28" t="s">
        <v>12</v>
      </c>
      <c r="D397" s="28" t="s">
        <v>69</v>
      </c>
      <c r="E397" s="28" t="s">
        <v>47</v>
      </c>
      <c r="F397" s="28" t="s">
        <v>35</v>
      </c>
      <c r="G397" s="28" t="s">
        <v>30</v>
      </c>
      <c r="H397" s="28" t="s">
        <v>86</v>
      </c>
      <c r="I397" s="28">
        <v>5600</v>
      </c>
      <c r="J397" s="28">
        <v>60000</v>
      </c>
      <c r="K397" s="28">
        <v>1800</v>
      </c>
      <c r="L397" s="28">
        <v>90</v>
      </c>
      <c r="M397" s="28">
        <v>0.05</v>
      </c>
      <c r="N397" s="28">
        <v>22500</v>
      </c>
      <c r="O397" s="28">
        <v>0.03</v>
      </c>
      <c r="P397" s="28">
        <v>3.11</v>
      </c>
      <c r="Q397" s="28">
        <v>3.02</v>
      </c>
      <c r="R397" s="26"/>
      <c r="S397" s="26"/>
      <c r="T397" s="26"/>
      <c r="U397" s="26"/>
    </row>
    <row r="398" spans="1:21" x14ac:dyDescent="0.3">
      <c r="A398" s="26"/>
      <c r="B398" s="29">
        <v>45392</v>
      </c>
      <c r="C398" s="28" t="s">
        <v>11</v>
      </c>
      <c r="D398" s="28" t="s">
        <v>73</v>
      </c>
      <c r="E398" s="28" t="s">
        <v>47</v>
      </c>
      <c r="F398" s="28" t="s">
        <v>44</v>
      </c>
      <c r="G398" s="28" t="s">
        <v>33</v>
      </c>
      <c r="H398" s="28" t="s">
        <v>86</v>
      </c>
      <c r="I398" s="28">
        <v>3150</v>
      </c>
      <c r="J398" s="28">
        <v>97000</v>
      </c>
      <c r="K398" s="28">
        <v>3880</v>
      </c>
      <c r="L398" s="28">
        <v>194</v>
      </c>
      <c r="M398" s="28">
        <v>0.05</v>
      </c>
      <c r="N398" s="28">
        <v>29100</v>
      </c>
      <c r="O398" s="28">
        <v>0.04</v>
      </c>
      <c r="P398" s="28">
        <v>0.81</v>
      </c>
      <c r="Q398" s="28">
        <v>8.24</v>
      </c>
      <c r="R398" s="26"/>
      <c r="S398" s="26"/>
      <c r="T398" s="26"/>
      <c r="U398" s="26"/>
    </row>
    <row r="399" spans="1:21" x14ac:dyDescent="0.3">
      <c r="A399" s="26"/>
      <c r="B399" s="29">
        <v>45399</v>
      </c>
      <c r="C399" s="28" t="s">
        <v>13</v>
      </c>
      <c r="D399" s="28" t="s">
        <v>80</v>
      </c>
      <c r="E399" s="28" t="s">
        <v>48</v>
      </c>
      <c r="F399" s="28" t="s">
        <v>41</v>
      </c>
      <c r="G399" s="28" t="s">
        <v>31</v>
      </c>
      <c r="H399" s="28" t="s">
        <v>86</v>
      </c>
      <c r="I399" s="28">
        <v>2250</v>
      </c>
      <c r="J399" s="28">
        <v>74000</v>
      </c>
      <c r="K399" s="28">
        <v>3700</v>
      </c>
      <c r="L399" s="28">
        <v>185</v>
      </c>
      <c r="M399" s="28">
        <v>0.05</v>
      </c>
      <c r="N399" s="28">
        <v>27750</v>
      </c>
      <c r="O399" s="28">
        <v>0.05</v>
      </c>
      <c r="P399" s="28">
        <v>0.61</v>
      </c>
      <c r="Q399" s="28">
        <v>11.33</v>
      </c>
      <c r="R399" s="26"/>
      <c r="S399" s="26"/>
      <c r="T399" s="26"/>
      <c r="U399" s="26"/>
    </row>
    <row r="400" spans="1:21" x14ac:dyDescent="0.3">
      <c r="A400" s="26"/>
      <c r="B400" s="29">
        <v>45406</v>
      </c>
      <c r="C400" s="28" t="s">
        <v>12</v>
      </c>
      <c r="D400" s="28" t="s">
        <v>68</v>
      </c>
      <c r="E400" s="28" t="s">
        <v>47</v>
      </c>
      <c r="F400" s="28" t="s">
        <v>41</v>
      </c>
      <c r="G400" s="28" t="s">
        <v>32</v>
      </c>
      <c r="H400" s="28" t="s">
        <v>86</v>
      </c>
      <c r="I400" s="28">
        <v>3850</v>
      </c>
      <c r="J400" s="28">
        <v>120000</v>
      </c>
      <c r="K400" s="28">
        <v>4800</v>
      </c>
      <c r="L400" s="28">
        <v>240</v>
      </c>
      <c r="M400" s="28">
        <v>0.05</v>
      </c>
      <c r="N400" s="28">
        <v>36000</v>
      </c>
      <c r="O400" s="28">
        <v>0.04</v>
      </c>
      <c r="P400" s="28">
        <v>0.8</v>
      </c>
      <c r="Q400" s="28">
        <v>8.35</v>
      </c>
      <c r="R400" s="26"/>
      <c r="S400" s="26"/>
      <c r="T400" s="26"/>
      <c r="U400" s="26"/>
    </row>
    <row r="401" spans="1:21" x14ac:dyDescent="0.3">
      <c r="A401" s="26"/>
      <c r="B401" s="29">
        <v>45413</v>
      </c>
      <c r="C401" s="28" t="s">
        <v>12</v>
      </c>
      <c r="D401" s="28" t="s">
        <v>67</v>
      </c>
      <c r="E401" s="28" t="s">
        <v>48</v>
      </c>
      <c r="F401" s="28" t="s">
        <v>45</v>
      </c>
      <c r="G401" s="28" t="s">
        <v>31</v>
      </c>
      <c r="H401" s="28" t="s">
        <v>86</v>
      </c>
      <c r="I401" s="28">
        <v>2650</v>
      </c>
      <c r="J401" s="28">
        <v>81000</v>
      </c>
      <c r="K401" s="28">
        <v>4050</v>
      </c>
      <c r="L401" s="28">
        <v>202</v>
      </c>
      <c r="M401" s="28">
        <v>0.05</v>
      </c>
      <c r="N401" s="28">
        <v>30375</v>
      </c>
      <c r="O401" s="28">
        <v>0.05</v>
      </c>
      <c r="P401" s="28">
        <v>0.65</v>
      </c>
      <c r="Q401" s="28">
        <v>10.46</v>
      </c>
      <c r="R401" s="26"/>
      <c r="S401" s="26"/>
      <c r="T401" s="26"/>
      <c r="U401" s="26"/>
    </row>
    <row r="402" spans="1:21" x14ac:dyDescent="0.3">
      <c r="A402" s="26"/>
      <c r="B402" s="29">
        <v>45420</v>
      </c>
      <c r="C402" s="28" t="s">
        <v>12</v>
      </c>
      <c r="D402" s="28" t="s">
        <v>76</v>
      </c>
      <c r="E402" s="28" t="s">
        <v>49</v>
      </c>
      <c r="F402" s="28" t="s">
        <v>38</v>
      </c>
      <c r="G402" s="28" t="s">
        <v>30</v>
      </c>
      <c r="H402" s="28" t="s">
        <v>86</v>
      </c>
      <c r="I402" s="28">
        <v>5200</v>
      </c>
      <c r="J402" s="28">
        <v>56000</v>
      </c>
      <c r="K402" s="28">
        <v>1680</v>
      </c>
      <c r="L402" s="28">
        <v>84</v>
      </c>
      <c r="M402" s="28">
        <v>0.05</v>
      </c>
      <c r="N402" s="28">
        <v>21000</v>
      </c>
      <c r="O402" s="28">
        <v>0.03</v>
      </c>
      <c r="P402" s="28">
        <v>3.1</v>
      </c>
      <c r="Q402" s="28">
        <v>3.04</v>
      </c>
      <c r="R402" s="26"/>
      <c r="S402" s="26"/>
      <c r="T402" s="26"/>
      <c r="U402" s="26"/>
    </row>
    <row r="403" spans="1:21" x14ac:dyDescent="0.3">
      <c r="A403" s="26"/>
      <c r="B403" s="29">
        <v>45427</v>
      </c>
      <c r="C403" s="28" t="s">
        <v>13</v>
      </c>
      <c r="D403" s="28" t="s">
        <v>68</v>
      </c>
      <c r="E403" s="28" t="s">
        <v>47</v>
      </c>
      <c r="F403" s="28" t="s">
        <v>45</v>
      </c>
      <c r="G403" s="28" t="s">
        <v>33</v>
      </c>
      <c r="H403" s="28" t="s">
        <v>86</v>
      </c>
      <c r="I403" s="28">
        <v>3250</v>
      </c>
      <c r="J403" s="28">
        <v>100000</v>
      </c>
      <c r="K403" s="28">
        <v>4000</v>
      </c>
      <c r="L403" s="28">
        <v>200</v>
      </c>
      <c r="M403" s="28">
        <v>0.05</v>
      </c>
      <c r="N403" s="28">
        <v>30000</v>
      </c>
      <c r="O403" s="28">
        <v>0.04</v>
      </c>
      <c r="P403" s="28">
        <v>0.81</v>
      </c>
      <c r="Q403" s="28">
        <v>8.23</v>
      </c>
      <c r="R403" s="26"/>
      <c r="S403" s="26"/>
      <c r="T403" s="26"/>
      <c r="U403" s="26"/>
    </row>
    <row r="404" spans="1:21" x14ac:dyDescent="0.3">
      <c r="A404" s="26"/>
      <c r="B404" s="29">
        <v>45434</v>
      </c>
      <c r="C404" s="28" t="s">
        <v>13</v>
      </c>
      <c r="D404" s="28" t="s">
        <v>80</v>
      </c>
      <c r="E404" s="28" t="s">
        <v>48</v>
      </c>
      <c r="F404" s="28" t="s">
        <v>43</v>
      </c>
      <c r="G404" s="28" t="s">
        <v>31</v>
      </c>
      <c r="H404" s="28" t="s">
        <v>86</v>
      </c>
      <c r="I404" s="28">
        <v>2350</v>
      </c>
      <c r="J404" s="28">
        <v>76000</v>
      </c>
      <c r="K404" s="28">
        <v>3800</v>
      </c>
      <c r="L404" s="28">
        <v>190</v>
      </c>
      <c r="M404" s="28">
        <v>0.05</v>
      </c>
      <c r="N404" s="28">
        <v>28500</v>
      </c>
      <c r="O404" s="28">
        <v>0.05</v>
      </c>
      <c r="P404" s="28">
        <v>0.62</v>
      </c>
      <c r="Q404" s="28">
        <v>11.13</v>
      </c>
      <c r="R404" s="26"/>
      <c r="S404" s="26"/>
      <c r="T404" s="26"/>
      <c r="U404" s="26"/>
    </row>
    <row r="405" spans="1:21" x14ac:dyDescent="0.3">
      <c r="A405" s="26"/>
      <c r="B405" s="29">
        <v>45441</v>
      </c>
      <c r="C405" s="28" t="s">
        <v>11</v>
      </c>
      <c r="D405" s="28" t="s">
        <v>69</v>
      </c>
      <c r="E405" s="28" t="s">
        <v>47</v>
      </c>
      <c r="F405" s="28" t="s">
        <v>36</v>
      </c>
      <c r="G405" s="28" t="s">
        <v>32</v>
      </c>
      <c r="H405" s="28" t="s">
        <v>86</v>
      </c>
      <c r="I405" s="28">
        <v>3550</v>
      </c>
      <c r="J405" s="28">
        <v>112000</v>
      </c>
      <c r="K405" s="28">
        <v>4480</v>
      </c>
      <c r="L405" s="28">
        <v>224</v>
      </c>
      <c r="M405" s="28">
        <v>0.05</v>
      </c>
      <c r="N405" s="28">
        <v>33600</v>
      </c>
      <c r="O405" s="28">
        <v>0.04</v>
      </c>
      <c r="P405" s="28">
        <v>0.79</v>
      </c>
      <c r="Q405" s="28">
        <v>8.4600000000000009</v>
      </c>
      <c r="R405" s="26"/>
      <c r="S405" s="26"/>
      <c r="T405" s="26"/>
      <c r="U405" s="26"/>
    </row>
    <row r="406" spans="1:21" x14ac:dyDescent="0.3">
      <c r="A406" s="26"/>
      <c r="B406" s="29">
        <v>45448</v>
      </c>
      <c r="C406" s="28" t="s">
        <v>13</v>
      </c>
      <c r="D406" s="28" t="s">
        <v>79</v>
      </c>
      <c r="E406" s="28" t="s">
        <v>47</v>
      </c>
      <c r="F406" s="28" t="s">
        <v>44</v>
      </c>
      <c r="G406" s="28" t="s">
        <v>31</v>
      </c>
      <c r="H406" s="28" t="s">
        <v>86</v>
      </c>
      <c r="I406" s="28">
        <v>2050</v>
      </c>
      <c r="J406" s="28">
        <v>71000</v>
      </c>
      <c r="K406" s="28">
        <v>3550</v>
      </c>
      <c r="L406" s="28">
        <v>178</v>
      </c>
      <c r="M406" s="28">
        <v>0.05</v>
      </c>
      <c r="N406" s="28">
        <v>26625</v>
      </c>
      <c r="O406" s="28">
        <v>0.05</v>
      </c>
      <c r="P406" s="28">
        <v>0.57999999999999996</v>
      </c>
      <c r="Q406" s="28">
        <v>11.99</v>
      </c>
      <c r="R406" s="26"/>
      <c r="S406" s="26"/>
      <c r="T406" s="26"/>
      <c r="U406" s="26"/>
    </row>
    <row r="407" spans="1:21" x14ac:dyDescent="0.3">
      <c r="A407" s="26"/>
      <c r="B407" s="29">
        <v>45455</v>
      </c>
      <c r="C407" s="28" t="s">
        <v>10</v>
      </c>
      <c r="D407" s="28" t="s">
        <v>71</v>
      </c>
      <c r="E407" s="28" t="s">
        <v>48</v>
      </c>
      <c r="F407" s="28" t="s">
        <v>38</v>
      </c>
      <c r="G407" s="28" t="s">
        <v>30</v>
      </c>
      <c r="H407" s="28" t="s">
        <v>86</v>
      </c>
      <c r="I407" s="28">
        <v>5800</v>
      </c>
      <c r="J407" s="28">
        <v>62000</v>
      </c>
      <c r="K407" s="28">
        <v>1860</v>
      </c>
      <c r="L407" s="28">
        <v>93</v>
      </c>
      <c r="M407" s="28">
        <v>0.05</v>
      </c>
      <c r="N407" s="28">
        <v>23250</v>
      </c>
      <c r="O407" s="28">
        <v>0.03</v>
      </c>
      <c r="P407" s="28">
        <v>3.12</v>
      </c>
      <c r="Q407" s="28">
        <v>3.01</v>
      </c>
      <c r="R407" s="26"/>
      <c r="S407" s="26"/>
      <c r="T407" s="26"/>
      <c r="U407" s="26"/>
    </row>
    <row r="408" spans="1:21" x14ac:dyDescent="0.3">
      <c r="A408" s="26"/>
      <c r="B408" s="29">
        <v>45462</v>
      </c>
      <c r="C408" s="28" t="s">
        <v>12</v>
      </c>
      <c r="D408" s="28" t="s">
        <v>72</v>
      </c>
      <c r="E408" s="28" t="s">
        <v>47</v>
      </c>
      <c r="F408" s="28" t="s">
        <v>43</v>
      </c>
      <c r="G408" s="28" t="s">
        <v>33</v>
      </c>
      <c r="H408" s="28" t="s">
        <v>86</v>
      </c>
      <c r="I408" s="28">
        <v>3450</v>
      </c>
      <c r="J408" s="28">
        <v>104000</v>
      </c>
      <c r="K408" s="28">
        <v>4160</v>
      </c>
      <c r="L408" s="28">
        <v>208</v>
      </c>
      <c r="M408" s="28">
        <v>0.05</v>
      </c>
      <c r="N408" s="28">
        <v>31200</v>
      </c>
      <c r="O408" s="28">
        <v>0.04</v>
      </c>
      <c r="P408" s="28">
        <v>0.83</v>
      </c>
      <c r="Q408" s="28">
        <v>8.0399999999999991</v>
      </c>
      <c r="R408" s="26"/>
      <c r="S408" s="26"/>
      <c r="T408" s="26"/>
      <c r="U408" s="26"/>
    </row>
    <row r="409" spans="1:21" x14ac:dyDescent="0.3">
      <c r="A409" s="26"/>
      <c r="B409" s="29">
        <v>45469</v>
      </c>
      <c r="C409" s="28" t="s">
        <v>11</v>
      </c>
      <c r="D409" s="28" t="s">
        <v>79</v>
      </c>
      <c r="E409" s="28" t="s">
        <v>47</v>
      </c>
      <c r="F409" s="28" t="s">
        <v>45</v>
      </c>
      <c r="G409" s="28" t="s">
        <v>31</v>
      </c>
      <c r="H409" s="28" t="s">
        <v>86</v>
      </c>
      <c r="I409" s="28">
        <v>2550</v>
      </c>
      <c r="J409" s="28">
        <v>79000</v>
      </c>
      <c r="K409" s="28">
        <v>3950</v>
      </c>
      <c r="L409" s="28">
        <v>198</v>
      </c>
      <c r="M409" s="28">
        <v>0.05</v>
      </c>
      <c r="N409" s="28">
        <v>29625</v>
      </c>
      <c r="O409" s="28">
        <v>0.05</v>
      </c>
      <c r="P409" s="28">
        <v>0.65</v>
      </c>
      <c r="Q409" s="28">
        <v>10.62</v>
      </c>
      <c r="R409" s="26"/>
      <c r="S409" s="26"/>
      <c r="T409" s="26"/>
      <c r="U409" s="26"/>
    </row>
    <row r="410" spans="1:21" x14ac:dyDescent="0.3">
      <c r="A410" s="26"/>
      <c r="B410" s="29">
        <v>45476</v>
      </c>
      <c r="C410" s="28" t="s">
        <v>10</v>
      </c>
      <c r="D410" s="28" t="s">
        <v>66</v>
      </c>
      <c r="E410" s="28" t="s">
        <v>48</v>
      </c>
      <c r="F410" s="28" t="s">
        <v>39</v>
      </c>
      <c r="G410" s="28" t="s">
        <v>32</v>
      </c>
      <c r="H410" s="28" t="s">
        <v>87</v>
      </c>
      <c r="I410" s="28">
        <v>3750</v>
      </c>
      <c r="J410" s="28">
        <v>117000</v>
      </c>
      <c r="K410" s="28">
        <v>4680</v>
      </c>
      <c r="L410" s="28">
        <v>234</v>
      </c>
      <c r="M410" s="28">
        <v>0.05</v>
      </c>
      <c r="N410" s="28">
        <v>35100</v>
      </c>
      <c r="O410" s="28">
        <v>0.04</v>
      </c>
      <c r="P410" s="28">
        <v>0.8</v>
      </c>
      <c r="Q410" s="28">
        <v>8.36</v>
      </c>
      <c r="R410" s="26"/>
      <c r="S410" s="26"/>
      <c r="T410" s="26"/>
      <c r="U410" s="26"/>
    </row>
    <row r="411" spans="1:21" x14ac:dyDescent="0.3">
      <c r="A411" s="26"/>
      <c r="B411" s="29">
        <v>45483</v>
      </c>
      <c r="C411" s="28" t="s">
        <v>12</v>
      </c>
      <c r="D411" s="28" t="s">
        <v>68</v>
      </c>
      <c r="E411" s="28" t="s">
        <v>47</v>
      </c>
      <c r="F411" s="28" t="s">
        <v>44</v>
      </c>
      <c r="G411" s="28" t="s">
        <v>31</v>
      </c>
      <c r="H411" s="28" t="s">
        <v>87</v>
      </c>
      <c r="I411" s="28">
        <v>2350</v>
      </c>
      <c r="J411" s="28">
        <v>75000</v>
      </c>
      <c r="K411" s="28">
        <v>3750</v>
      </c>
      <c r="L411" s="28">
        <v>188</v>
      </c>
      <c r="M411" s="28">
        <v>0.05</v>
      </c>
      <c r="N411" s="28">
        <v>28125</v>
      </c>
      <c r="O411" s="28">
        <v>0.05</v>
      </c>
      <c r="P411" s="28">
        <v>0.63</v>
      </c>
      <c r="Q411" s="28">
        <v>10.97</v>
      </c>
      <c r="R411" s="26"/>
      <c r="S411" s="26"/>
      <c r="T411" s="26"/>
      <c r="U411" s="26"/>
    </row>
    <row r="412" spans="1:21" x14ac:dyDescent="0.3">
      <c r="A412" s="26"/>
      <c r="B412" s="29">
        <v>45490</v>
      </c>
      <c r="C412" s="28" t="s">
        <v>11</v>
      </c>
      <c r="D412" s="28" t="s">
        <v>79</v>
      </c>
      <c r="E412" s="28" t="s">
        <v>47</v>
      </c>
      <c r="F412" s="28" t="s">
        <v>41</v>
      </c>
      <c r="G412" s="28" t="s">
        <v>30</v>
      </c>
      <c r="H412" s="28" t="s">
        <v>87</v>
      </c>
      <c r="I412" s="28">
        <v>5700</v>
      </c>
      <c r="J412" s="28">
        <v>61000</v>
      </c>
      <c r="K412" s="28">
        <v>1830</v>
      </c>
      <c r="L412" s="28">
        <v>92</v>
      </c>
      <c r="M412" s="28">
        <v>0.05</v>
      </c>
      <c r="N412" s="28">
        <v>22875</v>
      </c>
      <c r="O412" s="28">
        <v>0.03</v>
      </c>
      <c r="P412" s="28">
        <v>3.11</v>
      </c>
      <c r="Q412" s="28">
        <v>3.01</v>
      </c>
      <c r="R412" s="26"/>
      <c r="S412" s="26"/>
      <c r="T412" s="26"/>
      <c r="U412" s="26"/>
    </row>
    <row r="413" spans="1:21" x14ac:dyDescent="0.3">
      <c r="A413" s="26"/>
      <c r="B413" s="29">
        <v>45497</v>
      </c>
      <c r="C413" s="28" t="s">
        <v>11</v>
      </c>
      <c r="D413" s="28" t="s">
        <v>82</v>
      </c>
      <c r="E413" s="28" t="s">
        <v>47</v>
      </c>
      <c r="F413" s="28" t="s">
        <v>38</v>
      </c>
      <c r="G413" s="28" t="s">
        <v>33</v>
      </c>
      <c r="H413" s="28" t="s">
        <v>87</v>
      </c>
      <c r="I413" s="28">
        <v>3350</v>
      </c>
      <c r="J413" s="28">
        <v>102000</v>
      </c>
      <c r="K413" s="28">
        <v>4080</v>
      </c>
      <c r="L413" s="28">
        <v>204</v>
      </c>
      <c r="M413" s="28">
        <v>0.05</v>
      </c>
      <c r="N413" s="28">
        <v>30600</v>
      </c>
      <c r="O413" s="28">
        <v>0.04</v>
      </c>
      <c r="P413" s="28">
        <v>0.82</v>
      </c>
      <c r="Q413" s="28">
        <v>8.1300000000000008</v>
      </c>
      <c r="R413" s="26"/>
      <c r="S413" s="26"/>
      <c r="T413" s="26"/>
      <c r="U413" s="26"/>
    </row>
    <row r="414" spans="1:21" x14ac:dyDescent="0.3">
      <c r="A414" s="26"/>
      <c r="B414" s="29">
        <v>45504</v>
      </c>
      <c r="C414" s="28" t="s">
        <v>12</v>
      </c>
      <c r="D414" s="28" t="s">
        <v>69</v>
      </c>
      <c r="E414" s="28" t="s">
        <v>47</v>
      </c>
      <c r="F414" s="28" t="s">
        <v>44</v>
      </c>
      <c r="G414" s="28" t="s">
        <v>31</v>
      </c>
      <c r="H414" s="28" t="s">
        <v>87</v>
      </c>
      <c r="I414" s="28">
        <v>2150</v>
      </c>
      <c r="J414" s="28">
        <v>73000</v>
      </c>
      <c r="K414" s="28">
        <v>3650</v>
      </c>
      <c r="L414" s="28">
        <v>182</v>
      </c>
      <c r="M414" s="28">
        <v>0.05</v>
      </c>
      <c r="N414" s="28">
        <v>27375</v>
      </c>
      <c r="O414" s="28">
        <v>0.05</v>
      </c>
      <c r="P414" s="28">
        <v>0.59</v>
      </c>
      <c r="Q414" s="28">
        <v>11.73</v>
      </c>
      <c r="R414" s="26"/>
      <c r="S414" s="26"/>
      <c r="T414" s="26"/>
      <c r="U414" s="26"/>
    </row>
    <row r="415" spans="1:21" x14ac:dyDescent="0.3">
      <c r="A415" s="26"/>
      <c r="B415" s="29">
        <v>45511</v>
      </c>
      <c r="C415" s="28" t="s">
        <v>13</v>
      </c>
      <c r="D415" s="28" t="s">
        <v>69</v>
      </c>
      <c r="E415" s="28" t="s">
        <v>47</v>
      </c>
      <c r="F415" s="28" t="s">
        <v>40</v>
      </c>
      <c r="G415" s="28" t="s">
        <v>32</v>
      </c>
      <c r="H415" s="28" t="s">
        <v>87</v>
      </c>
      <c r="I415" s="28">
        <v>3950</v>
      </c>
      <c r="J415" s="28">
        <v>122000</v>
      </c>
      <c r="K415" s="28">
        <v>4880</v>
      </c>
      <c r="L415" s="28">
        <v>244</v>
      </c>
      <c r="M415" s="28">
        <v>0.05</v>
      </c>
      <c r="N415" s="28">
        <v>36600</v>
      </c>
      <c r="O415" s="28">
        <v>0.04</v>
      </c>
      <c r="P415" s="28">
        <v>0.81</v>
      </c>
      <c r="Q415" s="28">
        <v>8.27</v>
      </c>
      <c r="R415" s="26"/>
      <c r="S415" s="26"/>
      <c r="T415" s="26"/>
      <c r="U415" s="26"/>
    </row>
    <row r="416" spans="1:21" x14ac:dyDescent="0.3">
      <c r="A416" s="26"/>
      <c r="B416" s="29">
        <v>45518</v>
      </c>
      <c r="C416" s="28" t="s">
        <v>13</v>
      </c>
      <c r="D416" s="28" t="s">
        <v>71</v>
      </c>
      <c r="E416" s="28" t="s">
        <v>48</v>
      </c>
      <c r="F416" s="28" t="s">
        <v>45</v>
      </c>
      <c r="G416" s="28" t="s">
        <v>31</v>
      </c>
      <c r="H416" s="28" t="s">
        <v>87</v>
      </c>
      <c r="I416" s="28">
        <v>2650</v>
      </c>
      <c r="J416" s="28">
        <v>81000</v>
      </c>
      <c r="K416" s="28">
        <v>4050</v>
      </c>
      <c r="L416" s="28">
        <v>202</v>
      </c>
      <c r="M416" s="28">
        <v>0.05</v>
      </c>
      <c r="N416" s="28">
        <v>30375</v>
      </c>
      <c r="O416" s="28">
        <v>0.05</v>
      </c>
      <c r="P416" s="28">
        <v>0.65</v>
      </c>
      <c r="Q416" s="28">
        <v>10.46</v>
      </c>
      <c r="R416" s="26"/>
      <c r="S416" s="26"/>
      <c r="T416" s="26"/>
      <c r="U416" s="26"/>
    </row>
    <row r="417" spans="1:21" x14ac:dyDescent="0.3">
      <c r="A417" s="26"/>
      <c r="B417" s="29">
        <v>45525</v>
      </c>
      <c r="C417" s="28" t="s">
        <v>13</v>
      </c>
      <c r="D417" s="28" t="s">
        <v>66</v>
      </c>
      <c r="E417" s="28" t="s">
        <v>48</v>
      </c>
      <c r="F417" s="28" t="s">
        <v>42</v>
      </c>
      <c r="G417" s="28" t="s">
        <v>30</v>
      </c>
      <c r="H417" s="28" t="s">
        <v>87</v>
      </c>
      <c r="I417" s="28">
        <v>5500</v>
      </c>
      <c r="J417" s="28">
        <v>59000</v>
      </c>
      <c r="K417" s="28">
        <v>1770</v>
      </c>
      <c r="L417" s="28">
        <v>88</v>
      </c>
      <c r="M417" s="28">
        <v>0.05</v>
      </c>
      <c r="N417" s="28">
        <v>22125</v>
      </c>
      <c r="O417" s="28">
        <v>0.03</v>
      </c>
      <c r="P417" s="28">
        <v>3.11</v>
      </c>
      <c r="Q417" s="28">
        <v>3.02</v>
      </c>
      <c r="R417" s="26"/>
      <c r="S417" s="26"/>
      <c r="T417" s="26"/>
      <c r="U417" s="26"/>
    </row>
    <row r="418" spans="1:21" x14ac:dyDescent="0.3">
      <c r="A418" s="26"/>
      <c r="B418" s="29">
        <v>45532</v>
      </c>
      <c r="C418" s="28" t="s">
        <v>12</v>
      </c>
      <c r="D418" s="28" t="s">
        <v>74</v>
      </c>
      <c r="E418" s="28" t="s">
        <v>49</v>
      </c>
      <c r="F418" s="28" t="s">
        <v>45</v>
      </c>
      <c r="G418" s="28" t="s">
        <v>33</v>
      </c>
      <c r="H418" s="28" t="s">
        <v>87</v>
      </c>
      <c r="I418" s="28">
        <v>3250</v>
      </c>
      <c r="J418" s="28">
        <v>99000</v>
      </c>
      <c r="K418" s="28">
        <v>3960</v>
      </c>
      <c r="L418" s="28">
        <v>198</v>
      </c>
      <c r="M418" s="28">
        <v>0.05</v>
      </c>
      <c r="N418" s="28">
        <v>29700</v>
      </c>
      <c r="O418" s="28">
        <v>0.04</v>
      </c>
      <c r="P418" s="28">
        <v>0.82</v>
      </c>
      <c r="Q418" s="28">
        <v>8.14</v>
      </c>
      <c r="R418" s="26"/>
      <c r="S418" s="26"/>
      <c r="T418" s="26"/>
      <c r="U418" s="26"/>
    </row>
    <row r="419" spans="1:21" x14ac:dyDescent="0.3">
      <c r="A419" s="26"/>
      <c r="B419" s="29">
        <v>45539</v>
      </c>
      <c r="C419" s="28" t="s">
        <v>11</v>
      </c>
      <c r="D419" s="28" t="s">
        <v>71</v>
      </c>
      <c r="E419" s="28" t="s">
        <v>48</v>
      </c>
      <c r="F419" s="28" t="s">
        <v>45</v>
      </c>
      <c r="G419" s="28" t="s">
        <v>31</v>
      </c>
      <c r="H419" s="28" t="s">
        <v>87</v>
      </c>
      <c r="I419" s="28">
        <v>2450</v>
      </c>
      <c r="J419" s="28">
        <v>77000</v>
      </c>
      <c r="K419" s="28">
        <v>3850</v>
      </c>
      <c r="L419" s="28">
        <v>192</v>
      </c>
      <c r="M419" s="28">
        <v>0.05</v>
      </c>
      <c r="N419" s="28">
        <v>28875</v>
      </c>
      <c r="O419" s="28">
        <v>0.05</v>
      </c>
      <c r="P419" s="28">
        <v>0.64</v>
      </c>
      <c r="Q419" s="28">
        <v>10.79</v>
      </c>
      <c r="R419" s="26"/>
      <c r="S419" s="26"/>
      <c r="T419" s="26"/>
      <c r="U419" s="26"/>
    </row>
    <row r="420" spans="1:21" x14ac:dyDescent="0.3">
      <c r="A420" s="26"/>
      <c r="B420" s="29">
        <v>45546</v>
      </c>
      <c r="C420" s="28" t="s">
        <v>13</v>
      </c>
      <c r="D420" s="28" t="s">
        <v>73</v>
      </c>
      <c r="E420" s="28" t="s">
        <v>47</v>
      </c>
      <c r="F420" s="28" t="s">
        <v>38</v>
      </c>
      <c r="G420" s="28" t="s">
        <v>32</v>
      </c>
      <c r="H420" s="28" t="s">
        <v>88</v>
      </c>
      <c r="I420" s="28">
        <v>4050</v>
      </c>
      <c r="J420" s="28">
        <v>125000</v>
      </c>
      <c r="K420" s="28">
        <v>5000</v>
      </c>
      <c r="L420" s="28">
        <v>250</v>
      </c>
      <c r="M420" s="28">
        <v>0.05</v>
      </c>
      <c r="N420" s="28">
        <v>37500</v>
      </c>
      <c r="O420" s="28">
        <v>0.04</v>
      </c>
      <c r="P420" s="28">
        <v>0.81</v>
      </c>
      <c r="Q420" s="28">
        <v>8.26</v>
      </c>
      <c r="R420" s="26"/>
      <c r="S420" s="26"/>
      <c r="T420" s="26"/>
      <c r="U420" s="26"/>
    </row>
    <row r="421" spans="1:21" x14ac:dyDescent="0.3">
      <c r="A421" s="26"/>
      <c r="B421" s="29">
        <v>45553</v>
      </c>
      <c r="C421" s="28" t="s">
        <v>11</v>
      </c>
      <c r="D421" s="28" t="s">
        <v>81</v>
      </c>
      <c r="E421" s="28" t="s">
        <v>48</v>
      </c>
      <c r="F421" s="28" t="s">
        <v>40</v>
      </c>
      <c r="G421" s="28" t="s">
        <v>31</v>
      </c>
      <c r="H421" s="28" t="s">
        <v>88</v>
      </c>
      <c r="I421" s="28">
        <v>2750</v>
      </c>
      <c r="J421" s="28">
        <v>84000</v>
      </c>
      <c r="K421" s="28">
        <v>4200</v>
      </c>
      <c r="L421" s="28">
        <v>210</v>
      </c>
      <c r="M421" s="28">
        <v>0.05</v>
      </c>
      <c r="N421" s="28">
        <v>31500</v>
      </c>
      <c r="O421" s="28">
        <v>0.05</v>
      </c>
      <c r="P421" s="28">
        <v>0.65</v>
      </c>
      <c r="Q421" s="28">
        <v>10.45</v>
      </c>
      <c r="R421" s="26"/>
      <c r="S421" s="26"/>
      <c r="T421" s="26"/>
      <c r="U421" s="26"/>
    </row>
    <row r="422" spans="1:21" x14ac:dyDescent="0.3">
      <c r="A422" s="26"/>
      <c r="B422" s="29">
        <v>45560</v>
      </c>
      <c r="C422" s="28" t="s">
        <v>12</v>
      </c>
      <c r="D422" s="28" t="s">
        <v>84</v>
      </c>
      <c r="E422" s="28" t="s">
        <v>48</v>
      </c>
      <c r="F422" s="28" t="s">
        <v>39</v>
      </c>
      <c r="G422" s="28" t="s">
        <v>30</v>
      </c>
      <c r="H422" s="28" t="s">
        <v>88</v>
      </c>
      <c r="I422" s="28">
        <v>5900</v>
      </c>
      <c r="J422" s="28">
        <v>63000</v>
      </c>
      <c r="K422" s="28">
        <v>1890</v>
      </c>
      <c r="L422" s="28">
        <v>94</v>
      </c>
      <c r="M422" s="28">
        <v>0.05</v>
      </c>
      <c r="N422" s="28">
        <v>23625</v>
      </c>
      <c r="O422" s="28">
        <v>0.03</v>
      </c>
      <c r="P422" s="28">
        <v>3.12</v>
      </c>
      <c r="Q422" s="28">
        <v>3</v>
      </c>
      <c r="R422" s="26"/>
      <c r="S422" s="26"/>
      <c r="T422" s="26"/>
      <c r="U422" s="26"/>
    </row>
    <row r="423" spans="1:21" x14ac:dyDescent="0.3">
      <c r="A423" s="26"/>
      <c r="B423" s="29">
        <v>45567</v>
      </c>
      <c r="C423" s="28" t="s">
        <v>13</v>
      </c>
      <c r="D423" s="28" t="s">
        <v>75</v>
      </c>
      <c r="E423" s="28" t="s">
        <v>47</v>
      </c>
      <c r="F423" s="28" t="s">
        <v>38</v>
      </c>
      <c r="G423" s="28" t="s">
        <v>33</v>
      </c>
      <c r="H423" s="28" t="s">
        <v>88</v>
      </c>
      <c r="I423" s="28">
        <v>3550</v>
      </c>
      <c r="J423" s="28">
        <v>108000</v>
      </c>
      <c r="K423" s="28">
        <v>4320</v>
      </c>
      <c r="L423" s="28">
        <v>216</v>
      </c>
      <c r="M423" s="28">
        <v>0.05</v>
      </c>
      <c r="N423" s="28">
        <v>32400</v>
      </c>
      <c r="O423" s="28">
        <v>0.04</v>
      </c>
      <c r="P423" s="28">
        <v>0.82</v>
      </c>
      <c r="Q423" s="28">
        <v>8.1300000000000008</v>
      </c>
      <c r="R423" s="26"/>
      <c r="S423" s="26"/>
      <c r="T423" s="26"/>
      <c r="U423" s="26"/>
    </row>
    <row r="424" spans="1:21" x14ac:dyDescent="0.3">
      <c r="A424" s="26"/>
      <c r="B424" s="29">
        <v>45574</v>
      </c>
      <c r="C424" s="28" t="s">
        <v>12</v>
      </c>
      <c r="D424" s="28" t="s">
        <v>73</v>
      </c>
      <c r="E424" s="28" t="s">
        <v>47</v>
      </c>
      <c r="F424" s="28" t="s">
        <v>40</v>
      </c>
      <c r="G424" s="28" t="s">
        <v>31</v>
      </c>
      <c r="H424" s="28" t="s">
        <v>88</v>
      </c>
      <c r="I424" s="28">
        <v>2850</v>
      </c>
      <c r="J424" s="28">
        <v>86000</v>
      </c>
      <c r="K424" s="28">
        <v>4300</v>
      </c>
      <c r="L424" s="28">
        <v>215</v>
      </c>
      <c r="M424" s="28">
        <v>0.05</v>
      </c>
      <c r="N424" s="28">
        <v>32250</v>
      </c>
      <c r="O424" s="28">
        <v>0.05</v>
      </c>
      <c r="P424" s="28">
        <v>0.66</v>
      </c>
      <c r="Q424" s="28">
        <v>10.32</v>
      </c>
      <c r="R424" s="26"/>
      <c r="S424" s="26"/>
      <c r="T424" s="26"/>
      <c r="U424" s="26"/>
    </row>
    <row r="425" spans="1:21" x14ac:dyDescent="0.3">
      <c r="A425" s="26"/>
      <c r="B425" s="29">
        <v>45581</v>
      </c>
      <c r="C425" s="28" t="s">
        <v>10</v>
      </c>
      <c r="D425" s="28" t="s">
        <v>66</v>
      </c>
      <c r="E425" s="28" t="s">
        <v>48</v>
      </c>
      <c r="F425" s="28" t="s">
        <v>41</v>
      </c>
      <c r="G425" s="28" t="s">
        <v>32</v>
      </c>
      <c r="H425" s="28" t="s">
        <v>88</v>
      </c>
      <c r="I425" s="28">
        <v>3850</v>
      </c>
      <c r="J425" s="28">
        <v>121000</v>
      </c>
      <c r="K425" s="28">
        <v>4840</v>
      </c>
      <c r="L425" s="28">
        <v>242</v>
      </c>
      <c r="M425" s="28">
        <v>0.05</v>
      </c>
      <c r="N425" s="28">
        <v>36300</v>
      </c>
      <c r="O425" s="28">
        <v>0.04</v>
      </c>
      <c r="P425" s="28">
        <v>0.8</v>
      </c>
      <c r="Q425" s="28">
        <v>8.43</v>
      </c>
      <c r="R425" s="26"/>
      <c r="S425" s="26"/>
      <c r="T425" s="26"/>
      <c r="U425" s="26"/>
    </row>
    <row r="426" spans="1:21" x14ac:dyDescent="0.3">
      <c r="A426" s="26"/>
      <c r="B426" s="29">
        <v>45588</v>
      </c>
      <c r="C426" s="28" t="s">
        <v>11</v>
      </c>
      <c r="D426" s="28" t="s">
        <v>76</v>
      </c>
      <c r="E426" s="28" t="s">
        <v>49</v>
      </c>
      <c r="F426" s="28" t="s">
        <v>36</v>
      </c>
      <c r="G426" s="28" t="s">
        <v>31</v>
      </c>
      <c r="H426" s="28" t="s">
        <v>88</v>
      </c>
      <c r="I426" s="28">
        <v>2550</v>
      </c>
      <c r="J426" s="28">
        <v>79000</v>
      </c>
      <c r="K426" s="28">
        <v>3950</v>
      </c>
      <c r="L426" s="28">
        <v>198</v>
      </c>
      <c r="M426" s="28">
        <v>0.05</v>
      </c>
      <c r="N426" s="28">
        <v>29625</v>
      </c>
      <c r="O426" s="28">
        <v>0.05</v>
      </c>
      <c r="P426" s="28">
        <v>0.65</v>
      </c>
      <c r="Q426" s="28">
        <v>10.62</v>
      </c>
      <c r="R426" s="26"/>
      <c r="S426" s="26"/>
      <c r="T426" s="26"/>
      <c r="U426" s="26"/>
    </row>
    <row r="427" spans="1:21" x14ac:dyDescent="0.3">
      <c r="A427" s="26"/>
      <c r="B427" s="29">
        <v>45595</v>
      </c>
      <c r="C427" s="28" t="s">
        <v>12</v>
      </c>
      <c r="D427" s="28" t="s">
        <v>75</v>
      </c>
      <c r="E427" s="28" t="s">
        <v>47</v>
      </c>
      <c r="F427" s="28" t="s">
        <v>45</v>
      </c>
      <c r="G427" s="28" t="s">
        <v>30</v>
      </c>
      <c r="H427" s="28" t="s">
        <v>88</v>
      </c>
      <c r="I427" s="28">
        <v>6100</v>
      </c>
      <c r="J427" s="28">
        <v>64000</v>
      </c>
      <c r="K427" s="28">
        <v>1920</v>
      </c>
      <c r="L427" s="28">
        <v>96</v>
      </c>
      <c r="M427" s="28">
        <v>0.05</v>
      </c>
      <c r="N427" s="28">
        <v>24000</v>
      </c>
      <c r="O427" s="28">
        <v>0.03</v>
      </c>
      <c r="P427" s="28">
        <v>3.18</v>
      </c>
      <c r="Q427" s="28">
        <v>2.93</v>
      </c>
      <c r="R427" s="26"/>
      <c r="S427" s="26"/>
      <c r="T427" s="26"/>
      <c r="U427" s="26"/>
    </row>
    <row r="428" spans="1:21" x14ac:dyDescent="0.3">
      <c r="A428" s="26"/>
      <c r="B428" s="29">
        <v>45602</v>
      </c>
      <c r="C428" s="28" t="s">
        <v>12</v>
      </c>
      <c r="D428" s="28" t="s">
        <v>67</v>
      </c>
      <c r="E428" s="28" t="s">
        <v>48</v>
      </c>
      <c r="F428" s="28" t="s">
        <v>41</v>
      </c>
      <c r="G428" s="28" t="s">
        <v>33</v>
      </c>
      <c r="H428" s="28" t="s">
        <v>88</v>
      </c>
      <c r="I428" s="28">
        <v>3650</v>
      </c>
      <c r="J428" s="28">
        <v>110000</v>
      </c>
      <c r="K428" s="28">
        <v>4400</v>
      </c>
      <c r="L428" s="28">
        <v>220</v>
      </c>
      <c r="M428" s="28">
        <v>0.05</v>
      </c>
      <c r="N428" s="28">
        <v>33000</v>
      </c>
      <c r="O428" s="28">
        <v>0.04</v>
      </c>
      <c r="P428" s="28">
        <v>0.83</v>
      </c>
      <c r="Q428" s="28">
        <v>8.0399999999999991</v>
      </c>
      <c r="R428" s="26"/>
      <c r="S428" s="26"/>
      <c r="T428" s="26"/>
      <c r="U428" s="26"/>
    </row>
    <row r="429" spans="1:21" x14ac:dyDescent="0.3">
      <c r="A429" s="26"/>
      <c r="B429" s="29">
        <v>45609</v>
      </c>
      <c r="C429" s="28" t="s">
        <v>10</v>
      </c>
      <c r="D429" s="28" t="s">
        <v>84</v>
      </c>
      <c r="E429" s="28" t="s">
        <v>48</v>
      </c>
      <c r="F429" s="28" t="s">
        <v>40</v>
      </c>
      <c r="G429" s="28" t="s">
        <v>31</v>
      </c>
      <c r="H429" s="28" t="s">
        <v>88</v>
      </c>
      <c r="I429" s="28">
        <v>2950</v>
      </c>
      <c r="J429" s="28">
        <v>88000</v>
      </c>
      <c r="K429" s="28">
        <v>4400</v>
      </c>
      <c r="L429" s="28">
        <v>220</v>
      </c>
      <c r="M429" s="28">
        <v>0.05</v>
      </c>
      <c r="N429" s="28">
        <v>33000</v>
      </c>
      <c r="O429" s="28">
        <v>0.05</v>
      </c>
      <c r="P429" s="28">
        <v>0.67</v>
      </c>
      <c r="Q429" s="28">
        <v>10.19</v>
      </c>
      <c r="R429" s="26"/>
      <c r="S429" s="26"/>
      <c r="T429" s="26"/>
      <c r="U429" s="26"/>
    </row>
    <row r="430" spans="1:21" x14ac:dyDescent="0.3">
      <c r="A430" s="26"/>
      <c r="B430" s="29">
        <v>45616</v>
      </c>
      <c r="C430" s="28" t="s">
        <v>10</v>
      </c>
      <c r="D430" s="28" t="s">
        <v>71</v>
      </c>
      <c r="E430" s="28" t="s">
        <v>48</v>
      </c>
      <c r="F430" s="28" t="s">
        <v>39</v>
      </c>
      <c r="G430" s="28" t="s">
        <v>32</v>
      </c>
      <c r="H430" s="28" t="s">
        <v>88</v>
      </c>
      <c r="I430" s="28">
        <v>4050</v>
      </c>
      <c r="J430" s="28">
        <v>125000</v>
      </c>
      <c r="K430" s="28">
        <v>5000</v>
      </c>
      <c r="L430" s="28">
        <v>250</v>
      </c>
      <c r="M430" s="28">
        <v>0.05</v>
      </c>
      <c r="N430" s="28">
        <v>37500</v>
      </c>
      <c r="O430" s="28">
        <v>0.04</v>
      </c>
      <c r="P430" s="28">
        <v>0.81</v>
      </c>
      <c r="Q430" s="28">
        <v>8.26</v>
      </c>
      <c r="R430" s="26"/>
      <c r="S430" s="26"/>
      <c r="T430" s="26"/>
      <c r="U430" s="26"/>
    </row>
    <row r="431" spans="1:21" x14ac:dyDescent="0.3">
      <c r="A431" s="26"/>
      <c r="B431" s="29">
        <v>45623</v>
      </c>
      <c r="C431" s="28" t="s">
        <v>11</v>
      </c>
      <c r="D431" s="28" t="s">
        <v>75</v>
      </c>
      <c r="E431" s="28" t="s">
        <v>47</v>
      </c>
      <c r="F431" s="28" t="s">
        <v>40</v>
      </c>
      <c r="G431" s="28" t="s">
        <v>31</v>
      </c>
      <c r="H431" s="28" t="s">
        <v>88</v>
      </c>
      <c r="I431" s="28">
        <v>2750</v>
      </c>
      <c r="J431" s="28">
        <v>84000</v>
      </c>
      <c r="K431" s="28">
        <v>4200</v>
      </c>
      <c r="L431" s="28">
        <v>210</v>
      </c>
      <c r="M431" s="28">
        <v>0.05</v>
      </c>
      <c r="N431" s="28">
        <v>31500</v>
      </c>
      <c r="O431" s="28">
        <v>0.05</v>
      </c>
      <c r="P431" s="28">
        <v>0.65</v>
      </c>
      <c r="Q431" s="28">
        <v>10.45</v>
      </c>
      <c r="R431" s="26"/>
      <c r="S431" s="26"/>
      <c r="T431" s="26"/>
      <c r="U431" s="26"/>
    </row>
    <row r="432" spans="1:21" x14ac:dyDescent="0.3">
      <c r="A432" s="26"/>
      <c r="B432" s="29">
        <v>45630</v>
      </c>
      <c r="C432" s="28" t="s">
        <v>13</v>
      </c>
      <c r="D432" s="28" t="s">
        <v>84</v>
      </c>
      <c r="E432" s="28" t="s">
        <v>48</v>
      </c>
      <c r="F432" s="28" t="s">
        <v>36</v>
      </c>
      <c r="G432" s="28" t="s">
        <v>30</v>
      </c>
      <c r="H432" s="28" t="s">
        <v>88</v>
      </c>
      <c r="I432" s="28">
        <v>6000</v>
      </c>
      <c r="J432" s="28">
        <v>63000</v>
      </c>
      <c r="K432" s="28">
        <v>1890</v>
      </c>
      <c r="L432" s="28">
        <v>94</v>
      </c>
      <c r="M432" s="28">
        <v>0.05</v>
      </c>
      <c r="N432" s="28">
        <v>23625</v>
      </c>
      <c r="O432" s="28">
        <v>0.03</v>
      </c>
      <c r="P432" s="28">
        <v>3.17</v>
      </c>
      <c r="Q432" s="28">
        <v>2.94</v>
      </c>
      <c r="R432" s="26"/>
      <c r="S432" s="26"/>
      <c r="T432" s="26"/>
      <c r="U432" s="26"/>
    </row>
    <row r="433" spans="1:21" x14ac:dyDescent="0.3">
      <c r="A433" s="26"/>
      <c r="B433" s="29">
        <v>45637</v>
      </c>
      <c r="C433" s="28" t="s">
        <v>11</v>
      </c>
      <c r="D433" s="28" t="s">
        <v>74</v>
      </c>
      <c r="E433" s="28" t="s">
        <v>49</v>
      </c>
      <c r="F433" s="28" t="s">
        <v>41</v>
      </c>
      <c r="G433" s="28" t="s">
        <v>33</v>
      </c>
      <c r="H433" s="28" t="s">
        <v>88</v>
      </c>
      <c r="I433" s="28">
        <v>3750</v>
      </c>
      <c r="J433" s="28">
        <v>113000</v>
      </c>
      <c r="K433" s="28">
        <v>4520</v>
      </c>
      <c r="L433" s="28">
        <v>226</v>
      </c>
      <c r="M433" s="28">
        <v>0.05</v>
      </c>
      <c r="N433" s="28">
        <v>33900</v>
      </c>
      <c r="O433" s="28">
        <v>0.04</v>
      </c>
      <c r="P433" s="28">
        <v>0.83</v>
      </c>
      <c r="Q433" s="28">
        <v>8.0399999999999991</v>
      </c>
      <c r="R433" s="26"/>
      <c r="S433" s="26"/>
      <c r="T433" s="26"/>
      <c r="U433" s="26"/>
    </row>
    <row r="434" spans="1:21" x14ac:dyDescent="0.3">
      <c r="A434" s="26"/>
      <c r="B434" s="29">
        <v>45644</v>
      </c>
      <c r="C434" s="28" t="s">
        <v>10</v>
      </c>
      <c r="D434" s="28" t="s">
        <v>69</v>
      </c>
      <c r="E434" s="28" t="s">
        <v>47</v>
      </c>
      <c r="F434" s="28" t="s">
        <v>45</v>
      </c>
      <c r="G434" s="28" t="s">
        <v>31</v>
      </c>
      <c r="H434" s="28" t="s">
        <v>88</v>
      </c>
      <c r="I434" s="28">
        <v>2650</v>
      </c>
      <c r="J434" s="28">
        <v>81000</v>
      </c>
      <c r="K434" s="28">
        <v>4050</v>
      </c>
      <c r="L434" s="28">
        <v>202</v>
      </c>
      <c r="M434" s="28">
        <v>0.05</v>
      </c>
      <c r="N434" s="28">
        <v>30375</v>
      </c>
      <c r="O434" s="28">
        <v>0.05</v>
      </c>
      <c r="P434" s="28">
        <v>0.65</v>
      </c>
      <c r="Q434" s="28">
        <v>10.46</v>
      </c>
      <c r="R434" s="26"/>
      <c r="S434" s="26"/>
      <c r="T434" s="26"/>
      <c r="U434" s="26"/>
    </row>
    <row r="435" spans="1:21" x14ac:dyDescent="0.3">
      <c r="A435" s="26"/>
      <c r="B435" s="29">
        <v>45651</v>
      </c>
      <c r="C435" s="28" t="s">
        <v>10</v>
      </c>
      <c r="D435" s="28" t="s">
        <v>67</v>
      </c>
      <c r="E435" s="28" t="s">
        <v>48</v>
      </c>
      <c r="F435" s="28" t="s">
        <v>36</v>
      </c>
      <c r="G435" s="28" t="s">
        <v>32</v>
      </c>
      <c r="H435" s="28" t="s">
        <v>88</v>
      </c>
      <c r="I435" s="28">
        <v>4150</v>
      </c>
      <c r="J435" s="28">
        <v>127000</v>
      </c>
      <c r="K435" s="28">
        <v>5080</v>
      </c>
      <c r="L435" s="28">
        <v>254</v>
      </c>
      <c r="M435" s="28">
        <v>0.05</v>
      </c>
      <c r="N435" s="28">
        <v>38100</v>
      </c>
      <c r="O435" s="28">
        <v>0.04</v>
      </c>
      <c r="P435" s="28">
        <v>0.82</v>
      </c>
      <c r="Q435" s="28">
        <v>8.18</v>
      </c>
      <c r="R435" s="26"/>
      <c r="S435" s="26"/>
      <c r="T435" s="26"/>
      <c r="U435" s="26"/>
    </row>
    <row r="436" spans="1:21" x14ac:dyDescent="0.3">
      <c r="A436" s="26"/>
      <c r="B436" s="29">
        <v>45431</v>
      </c>
      <c r="C436" s="28" t="s">
        <v>13</v>
      </c>
      <c r="D436" s="28" t="s">
        <v>75</v>
      </c>
      <c r="E436" s="28" t="s">
        <v>47</v>
      </c>
      <c r="F436" s="28" t="s">
        <v>39</v>
      </c>
      <c r="G436" s="28" t="s">
        <v>33</v>
      </c>
      <c r="H436" s="28" t="s">
        <v>88</v>
      </c>
      <c r="I436" s="28">
        <v>2417.89</v>
      </c>
      <c r="J436" s="28">
        <v>8982</v>
      </c>
      <c r="K436" s="28">
        <v>282</v>
      </c>
      <c r="L436" s="28">
        <v>29</v>
      </c>
      <c r="M436" s="28">
        <v>0.1</v>
      </c>
      <c r="N436" s="28">
        <v>10829.6</v>
      </c>
      <c r="O436" s="28">
        <v>3.1399999999999997E-2</v>
      </c>
      <c r="P436" s="28">
        <v>8.57</v>
      </c>
      <c r="Q436" s="28">
        <v>3.4788999999999999</v>
      </c>
      <c r="R436" s="26"/>
      <c r="S436" s="26"/>
      <c r="T436" s="26"/>
      <c r="U436" s="26"/>
    </row>
    <row r="437" spans="1:21" x14ac:dyDescent="0.3">
      <c r="A437" s="26"/>
      <c r="B437" s="29">
        <v>45347</v>
      </c>
      <c r="C437" s="28" t="s">
        <v>12</v>
      </c>
      <c r="D437" s="28" t="s">
        <v>82</v>
      </c>
      <c r="E437" s="28" t="s">
        <v>47</v>
      </c>
      <c r="F437" s="28" t="s">
        <v>36</v>
      </c>
      <c r="G437" s="28" t="s">
        <v>33</v>
      </c>
      <c r="H437" s="28" t="s">
        <v>88</v>
      </c>
      <c r="I437" s="28">
        <v>2712.51</v>
      </c>
      <c r="J437" s="28">
        <v>9938</v>
      </c>
      <c r="K437" s="28">
        <v>859</v>
      </c>
      <c r="L437" s="28">
        <v>2</v>
      </c>
      <c r="M437" s="28">
        <v>0</v>
      </c>
      <c r="N437" s="28">
        <v>4735.08</v>
      </c>
      <c r="O437" s="28">
        <v>8.6400000000000005E-2</v>
      </c>
      <c r="P437" s="28">
        <v>3.16</v>
      </c>
      <c r="Q437" s="28">
        <v>0.74560000000000004</v>
      </c>
      <c r="R437" s="26"/>
      <c r="S437" s="26"/>
      <c r="T437" s="26"/>
      <c r="U437" s="26"/>
    </row>
    <row r="438" spans="1:21" x14ac:dyDescent="0.3">
      <c r="A438" s="26"/>
      <c r="B438" s="29">
        <v>45256</v>
      </c>
      <c r="C438" s="28" t="s">
        <v>13</v>
      </c>
      <c r="D438" s="28" t="s">
        <v>69</v>
      </c>
      <c r="E438" s="28" t="s">
        <v>47</v>
      </c>
      <c r="F438" s="28" t="s">
        <v>41</v>
      </c>
      <c r="G438" s="28" t="s">
        <v>31</v>
      </c>
      <c r="H438" s="28" t="s">
        <v>88</v>
      </c>
      <c r="I438" s="28">
        <v>2088.39</v>
      </c>
      <c r="J438" s="28">
        <v>2859</v>
      </c>
      <c r="K438" s="28">
        <v>933</v>
      </c>
      <c r="L438" s="28">
        <v>44</v>
      </c>
      <c r="M438" s="28">
        <v>0.05</v>
      </c>
      <c r="N438" s="28">
        <v>4436.96</v>
      </c>
      <c r="O438" s="28">
        <v>0.32629999999999998</v>
      </c>
      <c r="P438" s="28">
        <v>2.2400000000000002</v>
      </c>
      <c r="Q438" s="28">
        <v>1.1246</v>
      </c>
      <c r="R438" s="26"/>
      <c r="S438" s="26"/>
      <c r="T438" s="26"/>
      <c r="U438" s="26"/>
    </row>
    <row r="439" spans="1:21" x14ac:dyDescent="0.3">
      <c r="A439" s="26"/>
      <c r="B439" s="29">
        <v>45249</v>
      </c>
      <c r="C439" s="28" t="s">
        <v>13</v>
      </c>
      <c r="D439" s="28" t="s">
        <v>80</v>
      </c>
      <c r="E439" s="28" t="s">
        <v>48</v>
      </c>
      <c r="F439" s="28" t="s">
        <v>41</v>
      </c>
      <c r="G439" s="28" t="s">
        <v>33</v>
      </c>
      <c r="H439" s="28" t="s">
        <v>87</v>
      </c>
      <c r="I439" s="28">
        <v>688.4</v>
      </c>
      <c r="J439" s="28">
        <v>4477</v>
      </c>
      <c r="K439" s="28">
        <v>205</v>
      </c>
      <c r="L439" s="28">
        <v>38</v>
      </c>
      <c r="M439" s="28">
        <v>0.19</v>
      </c>
      <c r="N439" s="28">
        <v>17378.22</v>
      </c>
      <c r="O439" s="28">
        <v>4.58E-2</v>
      </c>
      <c r="P439" s="28">
        <v>3.36</v>
      </c>
      <c r="Q439" s="28">
        <v>24.244399999999999</v>
      </c>
      <c r="R439" s="26"/>
      <c r="S439" s="26"/>
      <c r="T439" s="26"/>
      <c r="U439" s="26"/>
    </row>
    <row r="440" spans="1:21" x14ac:dyDescent="0.3">
      <c r="A440" s="26"/>
      <c r="B440" s="29">
        <v>45039</v>
      </c>
      <c r="C440" s="28" t="s">
        <v>13</v>
      </c>
      <c r="D440" s="28" t="s">
        <v>71</v>
      </c>
      <c r="E440" s="28" t="s">
        <v>48</v>
      </c>
      <c r="F440" s="28" t="s">
        <v>44</v>
      </c>
      <c r="G440" s="28" t="s">
        <v>32</v>
      </c>
      <c r="H440" s="28" t="s">
        <v>86</v>
      </c>
      <c r="I440" s="28">
        <v>2426.42</v>
      </c>
      <c r="J440" s="28">
        <v>6635</v>
      </c>
      <c r="K440" s="28">
        <v>822</v>
      </c>
      <c r="L440" s="28">
        <v>14</v>
      </c>
      <c r="M440" s="28">
        <v>0.02</v>
      </c>
      <c r="N440" s="28">
        <v>12020.84</v>
      </c>
      <c r="O440" s="28">
        <v>0.1239</v>
      </c>
      <c r="P440" s="28">
        <v>2.95</v>
      </c>
      <c r="Q440" s="28">
        <v>3.9540999999999999</v>
      </c>
      <c r="R440" s="26"/>
      <c r="S440" s="26"/>
      <c r="T440" s="26"/>
      <c r="U440" s="26"/>
    </row>
    <row r="441" spans="1:21" x14ac:dyDescent="0.3">
      <c r="A441" s="26"/>
      <c r="B441" s="29">
        <v>45032</v>
      </c>
      <c r="C441" s="28" t="s">
        <v>13</v>
      </c>
      <c r="D441" s="28" t="s">
        <v>82</v>
      </c>
      <c r="E441" s="28" t="s">
        <v>47</v>
      </c>
      <c r="F441" s="28" t="s">
        <v>41</v>
      </c>
      <c r="G441" s="28" t="s">
        <v>30</v>
      </c>
      <c r="H441" s="28" t="s">
        <v>87</v>
      </c>
      <c r="I441" s="28">
        <v>2191.96</v>
      </c>
      <c r="J441" s="28">
        <v>9477</v>
      </c>
      <c r="K441" s="28">
        <v>898</v>
      </c>
      <c r="L441" s="28">
        <v>42</v>
      </c>
      <c r="M441" s="28">
        <v>0.05</v>
      </c>
      <c r="N441" s="28">
        <v>18187.47</v>
      </c>
      <c r="O441" s="28">
        <v>9.4799999999999995E-2</v>
      </c>
      <c r="P441" s="28">
        <v>2.44</v>
      </c>
      <c r="Q441" s="28">
        <v>7.2973999999999997</v>
      </c>
      <c r="R441" s="26"/>
      <c r="S441" s="26"/>
      <c r="T441" s="26"/>
      <c r="U441" s="26"/>
    </row>
    <row r="442" spans="1:21" x14ac:dyDescent="0.3">
      <c r="A442" s="26"/>
      <c r="B442" s="29">
        <v>45095</v>
      </c>
      <c r="C442" s="28" t="s">
        <v>12</v>
      </c>
      <c r="D442" s="28" t="s">
        <v>73</v>
      </c>
      <c r="E442" s="28" t="s">
        <v>47</v>
      </c>
      <c r="F442" s="28" t="s">
        <v>39</v>
      </c>
      <c r="G442" s="28" t="s">
        <v>32</v>
      </c>
      <c r="H442" s="28" t="s">
        <v>85</v>
      </c>
      <c r="I442" s="28">
        <v>2529.77</v>
      </c>
      <c r="J442" s="28">
        <v>5797</v>
      </c>
      <c r="K442" s="28">
        <v>633</v>
      </c>
      <c r="L442" s="28">
        <v>11</v>
      </c>
      <c r="M442" s="28">
        <v>0.02</v>
      </c>
      <c r="N442" s="28">
        <v>8063.26</v>
      </c>
      <c r="O442" s="28">
        <v>0.10920000000000001</v>
      </c>
      <c r="P442" s="28">
        <v>4</v>
      </c>
      <c r="Q442" s="28">
        <v>2.1873</v>
      </c>
      <c r="R442" s="26"/>
      <c r="S442" s="26"/>
      <c r="T442" s="26"/>
      <c r="U442" s="26"/>
    </row>
    <row r="443" spans="1:21" x14ac:dyDescent="0.3">
      <c r="A443" s="26"/>
      <c r="B443" s="29">
        <v>45431</v>
      </c>
      <c r="C443" s="28" t="s">
        <v>13</v>
      </c>
      <c r="D443" s="28" t="s">
        <v>68</v>
      </c>
      <c r="E443" s="28" t="s">
        <v>47</v>
      </c>
      <c r="F443" s="28" t="s">
        <v>45</v>
      </c>
      <c r="G443" s="28" t="s">
        <v>33</v>
      </c>
      <c r="H443" s="28" t="s">
        <v>88</v>
      </c>
      <c r="I443" s="28">
        <v>2417.89</v>
      </c>
      <c r="J443" s="28">
        <v>8982</v>
      </c>
      <c r="K443" s="28">
        <v>282</v>
      </c>
      <c r="L443" s="28">
        <v>29</v>
      </c>
      <c r="M443" s="28">
        <v>0.1</v>
      </c>
      <c r="N443" s="28">
        <v>10829.6</v>
      </c>
      <c r="O443" s="28">
        <v>3.1399999999999997E-2</v>
      </c>
      <c r="P443" s="28">
        <v>8.57</v>
      </c>
      <c r="Q443" s="28">
        <v>3.4788999999999999</v>
      </c>
      <c r="R443" s="26"/>
      <c r="S443" s="26"/>
      <c r="T443" s="26"/>
      <c r="U443" s="26"/>
    </row>
    <row r="444" spans="1:21" x14ac:dyDescent="0.3">
      <c r="A444" s="26"/>
      <c r="B444" s="29">
        <v>45060</v>
      </c>
      <c r="C444" s="28" t="s">
        <v>11</v>
      </c>
      <c r="D444" s="28" t="s">
        <v>69</v>
      </c>
      <c r="E444" s="28" t="s">
        <v>47</v>
      </c>
      <c r="F444" s="28" t="s">
        <v>43</v>
      </c>
      <c r="G444" s="28" t="s">
        <v>32</v>
      </c>
      <c r="H444" s="28" t="s">
        <v>88</v>
      </c>
      <c r="I444" s="28">
        <v>1233.05</v>
      </c>
      <c r="J444" s="28">
        <v>6000</v>
      </c>
      <c r="K444" s="28">
        <v>870</v>
      </c>
      <c r="L444" s="28">
        <v>19</v>
      </c>
      <c r="M444" s="28">
        <v>0.02</v>
      </c>
      <c r="N444" s="28">
        <v>17779.580000000002</v>
      </c>
      <c r="O444" s="28">
        <v>0.14499999999999999</v>
      </c>
      <c r="P444" s="28">
        <v>1.42</v>
      </c>
      <c r="Q444" s="28">
        <v>13.4192</v>
      </c>
      <c r="R444" s="26"/>
      <c r="S444" s="26"/>
      <c r="T444" s="26"/>
      <c r="U444" s="26"/>
    </row>
    <row r="445" spans="1:21" x14ac:dyDescent="0.3">
      <c r="A445" s="26"/>
      <c r="B445" s="29">
        <v>45326</v>
      </c>
      <c r="C445" s="28" t="s">
        <v>13</v>
      </c>
      <c r="D445" s="28" t="s">
        <v>70</v>
      </c>
      <c r="E445" s="28" t="s">
        <v>49</v>
      </c>
      <c r="F445" s="28" t="s">
        <v>37</v>
      </c>
      <c r="G445" s="28" t="s">
        <v>31</v>
      </c>
      <c r="H445" s="28" t="s">
        <v>85</v>
      </c>
      <c r="I445" s="28">
        <v>3258.37</v>
      </c>
      <c r="J445" s="28">
        <v>6139</v>
      </c>
      <c r="K445" s="28">
        <v>843</v>
      </c>
      <c r="L445" s="28">
        <v>34</v>
      </c>
      <c r="M445" s="28">
        <v>0.04</v>
      </c>
      <c r="N445" s="28">
        <v>16217.39</v>
      </c>
      <c r="O445" s="28">
        <v>0.13730000000000001</v>
      </c>
      <c r="P445" s="28">
        <v>3.87</v>
      </c>
      <c r="Q445" s="28">
        <v>3.9771000000000001</v>
      </c>
      <c r="R445" s="26"/>
      <c r="S445" s="26"/>
      <c r="T445" s="26"/>
      <c r="U445" s="26"/>
    </row>
    <row r="446" spans="1:21" x14ac:dyDescent="0.3">
      <c r="A446" s="26"/>
      <c r="B446" s="29">
        <v>45214</v>
      </c>
      <c r="C446" s="28" t="s">
        <v>13</v>
      </c>
      <c r="D446" s="28" t="s">
        <v>71</v>
      </c>
      <c r="E446" s="28" t="s">
        <v>48</v>
      </c>
      <c r="F446" s="28" t="s">
        <v>45</v>
      </c>
      <c r="G446" s="28" t="s">
        <v>30</v>
      </c>
      <c r="H446" s="28" t="s">
        <v>85</v>
      </c>
      <c r="I446" s="28">
        <v>4860.17</v>
      </c>
      <c r="J446" s="28">
        <v>9056</v>
      </c>
      <c r="K446" s="28">
        <v>222</v>
      </c>
      <c r="L446" s="28">
        <v>37</v>
      </c>
      <c r="M446" s="28">
        <v>0.17</v>
      </c>
      <c r="N446" s="28">
        <v>12814.42</v>
      </c>
      <c r="O446" s="28">
        <v>2.4500000000000001E-2</v>
      </c>
      <c r="P446" s="28">
        <v>21.89</v>
      </c>
      <c r="Q446" s="28">
        <v>1.6366000000000001</v>
      </c>
      <c r="R446" s="26"/>
      <c r="S446" s="26"/>
      <c r="T446" s="26"/>
      <c r="U446" s="26"/>
    </row>
    <row r="447" spans="1:21" x14ac:dyDescent="0.3">
      <c r="A447" s="26"/>
      <c r="B447" s="29">
        <v>45368</v>
      </c>
      <c r="C447" s="28" t="s">
        <v>13</v>
      </c>
      <c r="D447" s="28" t="s">
        <v>65</v>
      </c>
      <c r="E447" s="28" t="s">
        <v>47</v>
      </c>
      <c r="F447" s="28" t="s">
        <v>41</v>
      </c>
      <c r="G447" s="28" t="s">
        <v>30</v>
      </c>
      <c r="H447" s="28" t="s">
        <v>87</v>
      </c>
      <c r="I447" s="28">
        <v>560.38</v>
      </c>
      <c r="J447" s="28">
        <v>9916</v>
      </c>
      <c r="K447" s="28">
        <v>916</v>
      </c>
      <c r="L447" s="28">
        <v>50</v>
      </c>
      <c r="M447" s="28">
        <v>0.05</v>
      </c>
      <c r="N447" s="28">
        <v>9119.65</v>
      </c>
      <c r="O447" s="28">
        <v>9.2399999999999996E-2</v>
      </c>
      <c r="P447" s="28">
        <v>0.61</v>
      </c>
      <c r="Q447" s="28">
        <v>15.273999999999999</v>
      </c>
      <c r="R447" s="26"/>
      <c r="S447" s="26"/>
      <c r="T447" s="26"/>
      <c r="U447" s="26"/>
    </row>
    <row r="448" spans="1:21" x14ac:dyDescent="0.3">
      <c r="A448" s="26"/>
      <c r="B448" s="29">
        <v>45284</v>
      </c>
      <c r="C448" s="28" t="s">
        <v>13</v>
      </c>
      <c r="D448" s="28" t="s">
        <v>66</v>
      </c>
      <c r="E448" s="28" t="s">
        <v>48</v>
      </c>
      <c r="F448" s="28" t="s">
        <v>45</v>
      </c>
      <c r="G448" s="28" t="s">
        <v>30</v>
      </c>
      <c r="H448" s="28" t="s">
        <v>87</v>
      </c>
      <c r="I448" s="28">
        <v>1730.76</v>
      </c>
      <c r="J448" s="28">
        <v>8184</v>
      </c>
      <c r="K448" s="28">
        <v>821</v>
      </c>
      <c r="L448" s="28">
        <v>33</v>
      </c>
      <c r="M448" s="28">
        <v>0.04</v>
      </c>
      <c r="N448" s="28">
        <v>7941.68</v>
      </c>
      <c r="O448" s="28">
        <v>0.1003</v>
      </c>
      <c r="P448" s="28">
        <v>2.11</v>
      </c>
      <c r="Q448" s="28">
        <v>3.5886</v>
      </c>
      <c r="R448" s="26"/>
      <c r="S448" s="26"/>
      <c r="T448" s="26"/>
      <c r="U448" s="26"/>
    </row>
    <row r="449" spans="1:21" x14ac:dyDescent="0.3">
      <c r="A449" s="26"/>
      <c r="B449" s="29">
        <v>45186</v>
      </c>
      <c r="C449" s="28" t="s">
        <v>10</v>
      </c>
      <c r="D449" s="28" t="s">
        <v>81</v>
      </c>
      <c r="E449" s="28" t="s">
        <v>48</v>
      </c>
      <c r="F449" s="28" t="s">
        <v>41</v>
      </c>
      <c r="G449" s="28" t="s">
        <v>30</v>
      </c>
      <c r="H449" s="28" t="s">
        <v>86</v>
      </c>
      <c r="I449" s="28">
        <v>2760.36</v>
      </c>
      <c r="J449" s="28">
        <v>5113</v>
      </c>
      <c r="K449" s="28">
        <v>449</v>
      </c>
      <c r="L449" s="28">
        <v>2</v>
      </c>
      <c r="M449" s="28">
        <v>0</v>
      </c>
      <c r="N449" s="28">
        <v>6173</v>
      </c>
      <c r="O449" s="28">
        <v>8.7800000000000003E-2</v>
      </c>
      <c r="P449" s="28">
        <v>6.15</v>
      </c>
      <c r="Q449" s="28">
        <v>1.2363</v>
      </c>
      <c r="R449" s="26"/>
      <c r="S449" s="26"/>
      <c r="T449" s="26"/>
      <c r="U449" s="26"/>
    </row>
    <row r="450" spans="1:21" x14ac:dyDescent="0.3">
      <c r="A450" s="26"/>
      <c r="B450" s="29">
        <v>45361</v>
      </c>
      <c r="C450" s="28" t="s">
        <v>10</v>
      </c>
      <c r="D450" s="28" t="s">
        <v>69</v>
      </c>
      <c r="E450" s="28" t="s">
        <v>47</v>
      </c>
      <c r="F450" s="28" t="s">
        <v>39</v>
      </c>
      <c r="G450" s="28" t="s">
        <v>33</v>
      </c>
      <c r="H450" s="28" t="s">
        <v>87</v>
      </c>
      <c r="I450" s="28">
        <v>4080.86</v>
      </c>
      <c r="J450" s="28">
        <v>3958</v>
      </c>
      <c r="K450" s="28">
        <v>336</v>
      </c>
      <c r="L450" s="28">
        <v>20</v>
      </c>
      <c r="M450" s="28">
        <v>0.06</v>
      </c>
      <c r="N450" s="28">
        <v>16097.73</v>
      </c>
      <c r="O450" s="28">
        <v>8.4900000000000003E-2</v>
      </c>
      <c r="P450" s="28">
        <v>12.15</v>
      </c>
      <c r="Q450" s="28">
        <v>2.9447000000000001</v>
      </c>
      <c r="R450" s="26"/>
      <c r="S450" s="26"/>
      <c r="T450" s="26"/>
      <c r="U450" s="26"/>
    </row>
    <row r="451" spans="1:21" x14ac:dyDescent="0.3">
      <c r="A451" s="26"/>
      <c r="B451" s="29">
        <v>45630</v>
      </c>
      <c r="C451" s="28" t="s">
        <v>11</v>
      </c>
      <c r="D451" s="28" t="s">
        <v>71</v>
      </c>
      <c r="E451" s="28" t="s">
        <v>48</v>
      </c>
      <c r="F451" s="28" t="s">
        <v>44</v>
      </c>
      <c r="G451" s="28" t="s">
        <v>30</v>
      </c>
      <c r="H451" s="28" t="s">
        <v>87</v>
      </c>
      <c r="I451" s="28">
        <v>1730.76</v>
      </c>
      <c r="J451" s="28">
        <v>8184</v>
      </c>
      <c r="K451" s="28">
        <v>821</v>
      </c>
      <c r="L451" s="28">
        <v>33</v>
      </c>
      <c r="M451" s="28">
        <v>0.04</v>
      </c>
      <c r="N451" s="28">
        <v>7941.68</v>
      </c>
      <c r="O451" s="28">
        <v>0.1003</v>
      </c>
      <c r="P451" s="28">
        <v>2.11</v>
      </c>
      <c r="Q451" s="28">
        <v>3.5886</v>
      </c>
      <c r="R451" s="26"/>
      <c r="S451" s="26"/>
      <c r="T451" s="26"/>
      <c r="U451" s="26"/>
    </row>
    <row r="452" spans="1:21" x14ac:dyDescent="0.3">
      <c r="A452" s="26"/>
      <c r="B452" s="29">
        <v>45637</v>
      </c>
      <c r="C452" s="28" t="s">
        <v>11</v>
      </c>
      <c r="D452" s="28" t="s">
        <v>75</v>
      </c>
      <c r="E452" s="28" t="s">
        <v>47</v>
      </c>
      <c r="F452" s="28" t="s">
        <v>41</v>
      </c>
      <c r="G452" s="28" t="s">
        <v>32</v>
      </c>
      <c r="H452" s="28" t="s">
        <v>85</v>
      </c>
      <c r="I452" s="28">
        <v>2828.02</v>
      </c>
      <c r="J452" s="28">
        <v>5429</v>
      </c>
      <c r="K452" s="28">
        <v>502</v>
      </c>
      <c r="L452" s="28">
        <v>17</v>
      </c>
      <c r="M452" s="28">
        <v>0.03</v>
      </c>
      <c r="N452" s="28">
        <v>5384.96</v>
      </c>
      <c r="O452" s="28">
        <v>9.2499999999999999E-2</v>
      </c>
      <c r="P452" s="28">
        <v>5.63</v>
      </c>
      <c r="Q452" s="28">
        <v>0.90410000000000001</v>
      </c>
      <c r="R452" s="26"/>
      <c r="S452" s="26"/>
      <c r="T452" s="26"/>
      <c r="U452" s="26"/>
    </row>
    <row r="453" spans="1:21" x14ac:dyDescent="0.3">
      <c r="A453" s="26"/>
      <c r="B453" s="29">
        <v>45644</v>
      </c>
      <c r="C453" s="28" t="s">
        <v>11</v>
      </c>
      <c r="D453" s="28" t="s">
        <v>78</v>
      </c>
      <c r="E453" s="28" t="s">
        <v>48</v>
      </c>
      <c r="F453" s="28" t="s">
        <v>45</v>
      </c>
      <c r="G453" s="28" t="s">
        <v>31</v>
      </c>
      <c r="H453" s="28" t="s">
        <v>87</v>
      </c>
      <c r="I453" s="28">
        <v>969.39</v>
      </c>
      <c r="J453" s="28">
        <v>8563</v>
      </c>
      <c r="K453" s="28">
        <v>879</v>
      </c>
      <c r="L453" s="28">
        <v>2</v>
      </c>
      <c r="M453" s="28">
        <v>0</v>
      </c>
      <c r="N453" s="28">
        <v>10178.950000000001</v>
      </c>
      <c r="O453" s="28">
        <v>0.1027</v>
      </c>
      <c r="P453" s="28">
        <v>1.1000000000000001</v>
      </c>
      <c r="Q453" s="28">
        <v>9.5004000000000008</v>
      </c>
      <c r="R453" s="26"/>
      <c r="S453" s="26"/>
      <c r="T453" s="26"/>
      <c r="U453" s="26"/>
    </row>
    <row r="454" spans="1:21" x14ac:dyDescent="0.3">
      <c r="A454" s="26"/>
      <c r="B454" s="29">
        <v>45651</v>
      </c>
      <c r="C454" s="28" t="s">
        <v>12</v>
      </c>
      <c r="D454" s="28" t="s">
        <v>81</v>
      </c>
      <c r="E454" s="28" t="s">
        <v>48</v>
      </c>
      <c r="F454" s="28" t="s">
        <v>44</v>
      </c>
      <c r="G454" s="28" t="s">
        <v>33</v>
      </c>
      <c r="H454" s="28" t="s">
        <v>87</v>
      </c>
      <c r="I454" s="28">
        <v>688.4</v>
      </c>
      <c r="J454" s="28">
        <v>4477</v>
      </c>
      <c r="K454" s="28">
        <v>205</v>
      </c>
      <c r="L454" s="28">
        <v>38</v>
      </c>
      <c r="M454" s="28">
        <v>0.19</v>
      </c>
      <c r="N454" s="28">
        <v>17378.22</v>
      </c>
      <c r="O454" s="28">
        <v>4.58E-2</v>
      </c>
      <c r="P454" s="28">
        <v>3.36</v>
      </c>
      <c r="Q454" s="28">
        <v>24.244399999999999</v>
      </c>
      <c r="R454" s="26"/>
      <c r="S454" s="26"/>
      <c r="T454" s="26"/>
      <c r="U454" s="26"/>
    </row>
    <row r="455" spans="1:21" x14ac:dyDescent="0.3">
      <c r="A455" s="26"/>
      <c r="B455" s="29">
        <v>45053</v>
      </c>
      <c r="C455" s="28" t="s">
        <v>11</v>
      </c>
      <c r="D455" s="28" t="s">
        <v>75</v>
      </c>
      <c r="E455" s="28" t="s">
        <v>47</v>
      </c>
      <c r="F455" s="28" t="s">
        <v>41</v>
      </c>
      <c r="G455" s="28" t="s">
        <v>30</v>
      </c>
      <c r="H455" s="28" t="s">
        <v>86</v>
      </c>
      <c r="I455" s="28">
        <v>2947.59</v>
      </c>
      <c r="J455" s="28">
        <v>6421</v>
      </c>
      <c r="K455" s="28">
        <v>409</v>
      </c>
      <c r="L455" s="28">
        <v>32</v>
      </c>
      <c r="M455" s="28">
        <v>0.08</v>
      </c>
      <c r="N455" s="28">
        <v>13245.18</v>
      </c>
      <c r="O455" s="28">
        <v>6.3700000000000007E-2</v>
      </c>
      <c r="P455" s="28">
        <v>7.21</v>
      </c>
      <c r="Q455" s="28">
        <v>3.4935999999999998</v>
      </c>
      <c r="R455" s="26"/>
      <c r="S455" s="26"/>
      <c r="T455" s="26"/>
      <c r="U455" s="26"/>
    </row>
    <row r="456" spans="1:21" x14ac:dyDescent="0.3">
      <c r="A456" s="26"/>
      <c r="B456" s="29">
        <v>45256</v>
      </c>
      <c r="C456" s="28" t="s">
        <v>12</v>
      </c>
      <c r="D456" s="28" t="s">
        <v>80</v>
      </c>
      <c r="E456" s="28" t="s">
        <v>48</v>
      </c>
      <c r="F456" s="28" t="s">
        <v>43</v>
      </c>
      <c r="G456" s="28" t="s">
        <v>31</v>
      </c>
      <c r="H456" s="28" t="s">
        <v>88</v>
      </c>
      <c r="I456" s="28">
        <v>2088.39</v>
      </c>
      <c r="J456" s="28">
        <v>2859</v>
      </c>
      <c r="K456" s="28">
        <v>933</v>
      </c>
      <c r="L456" s="28">
        <v>44</v>
      </c>
      <c r="M456" s="28">
        <v>0.05</v>
      </c>
      <c r="N456" s="28">
        <v>4436.96</v>
      </c>
      <c r="O456" s="28">
        <v>0.32629999999999998</v>
      </c>
      <c r="P456" s="28">
        <v>2.2400000000000002</v>
      </c>
      <c r="Q456" s="28">
        <v>1.1246</v>
      </c>
      <c r="R456" s="26"/>
      <c r="S456" s="26"/>
      <c r="T456" s="26"/>
      <c r="U456" s="26"/>
    </row>
    <row r="457" spans="1:21" x14ac:dyDescent="0.3">
      <c r="A457" s="26"/>
      <c r="B457" s="29">
        <v>45074</v>
      </c>
      <c r="C457" s="28" t="s">
        <v>12</v>
      </c>
      <c r="D457" s="28" t="s">
        <v>84</v>
      </c>
      <c r="E457" s="28" t="s">
        <v>48</v>
      </c>
      <c r="F457" s="28" t="s">
        <v>42</v>
      </c>
      <c r="G457" s="28" t="s">
        <v>32</v>
      </c>
      <c r="H457" s="28" t="s">
        <v>86</v>
      </c>
      <c r="I457" s="28">
        <v>1358.97</v>
      </c>
      <c r="J457" s="28">
        <v>8342</v>
      </c>
      <c r="K457" s="28">
        <v>147</v>
      </c>
      <c r="L457" s="28">
        <v>37</v>
      </c>
      <c r="M457" s="28">
        <v>0.25</v>
      </c>
      <c r="N457" s="28">
        <v>3523.57</v>
      </c>
      <c r="O457" s="28">
        <v>1.7600000000000001E-2</v>
      </c>
      <c r="P457" s="28">
        <v>9.24</v>
      </c>
      <c r="Q457" s="28">
        <v>1.5928</v>
      </c>
      <c r="R457" s="26"/>
      <c r="S457" s="26"/>
      <c r="T457" s="26"/>
      <c r="U457" s="26"/>
    </row>
    <row r="458" spans="1:21" x14ac:dyDescent="0.3">
      <c r="A458" s="26"/>
      <c r="B458" s="29">
        <v>45459</v>
      </c>
      <c r="C458" s="28" t="s">
        <v>12</v>
      </c>
      <c r="D458" s="28" t="s">
        <v>72</v>
      </c>
      <c r="E458" s="28" t="s">
        <v>47</v>
      </c>
      <c r="F458" s="28" t="s">
        <v>37</v>
      </c>
      <c r="G458" s="28" t="s">
        <v>31</v>
      </c>
      <c r="H458" s="28" t="s">
        <v>85</v>
      </c>
      <c r="I458" s="28">
        <v>3114.54</v>
      </c>
      <c r="J458" s="28">
        <v>7818</v>
      </c>
      <c r="K458" s="28">
        <v>441</v>
      </c>
      <c r="L458" s="28">
        <v>39</v>
      </c>
      <c r="M458" s="28">
        <v>0.09</v>
      </c>
      <c r="N458" s="28">
        <v>7945.99</v>
      </c>
      <c r="O458" s="28">
        <v>5.6399999999999999E-2</v>
      </c>
      <c r="P458" s="28">
        <v>7.06</v>
      </c>
      <c r="Q458" s="28">
        <v>1.5512999999999999</v>
      </c>
      <c r="R458" s="26"/>
      <c r="S458" s="26"/>
      <c r="T458" s="26"/>
      <c r="U458" s="26"/>
    </row>
    <row r="459" spans="1:21" x14ac:dyDescent="0.3">
      <c r="A459" s="26"/>
      <c r="B459" s="29">
        <v>45361</v>
      </c>
      <c r="C459" s="28" t="s">
        <v>13</v>
      </c>
      <c r="D459" s="28" t="s">
        <v>84</v>
      </c>
      <c r="E459" s="28" t="s">
        <v>48</v>
      </c>
      <c r="F459" s="28" t="s">
        <v>36</v>
      </c>
      <c r="G459" s="28" t="s">
        <v>33</v>
      </c>
      <c r="H459" s="28" t="s">
        <v>87</v>
      </c>
      <c r="I459" s="28">
        <v>4080.86</v>
      </c>
      <c r="J459" s="28">
        <v>3958</v>
      </c>
      <c r="K459" s="28">
        <v>336</v>
      </c>
      <c r="L459" s="28">
        <v>20</v>
      </c>
      <c r="M459" s="28">
        <v>0.06</v>
      </c>
      <c r="N459" s="28">
        <v>16097.73</v>
      </c>
      <c r="O459" s="28">
        <v>8.4900000000000003E-2</v>
      </c>
      <c r="P459" s="28">
        <v>12.15</v>
      </c>
      <c r="Q459" s="28">
        <v>2.9447000000000001</v>
      </c>
      <c r="R459" s="26"/>
      <c r="S459" s="26"/>
      <c r="T459" s="26"/>
      <c r="U459" s="26"/>
    </row>
    <row r="460" spans="1:21" x14ac:dyDescent="0.3">
      <c r="A460" s="26"/>
      <c r="B460" s="29">
        <v>45158</v>
      </c>
      <c r="C460" s="28" t="s">
        <v>10</v>
      </c>
      <c r="D460" s="28" t="s">
        <v>72</v>
      </c>
      <c r="E460" s="28" t="s">
        <v>47</v>
      </c>
      <c r="F460" s="28" t="s">
        <v>45</v>
      </c>
      <c r="G460" s="28" t="s">
        <v>33</v>
      </c>
      <c r="H460" s="28" t="s">
        <v>87</v>
      </c>
      <c r="I460" s="28">
        <v>3283.84</v>
      </c>
      <c r="J460" s="28">
        <v>5414</v>
      </c>
      <c r="K460" s="28">
        <v>643</v>
      </c>
      <c r="L460" s="28">
        <v>4</v>
      </c>
      <c r="M460" s="28">
        <v>0.01</v>
      </c>
      <c r="N460" s="28">
        <v>19911.599999999999</v>
      </c>
      <c r="O460" s="28">
        <v>0.1188</v>
      </c>
      <c r="P460" s="28">
        <v>5.1100000000000003</v>
      </c>
      <c r="Q460" s="28">
        <v>5.0635000000000003</v>
      </c>
      <c r="R460" s="26"/>
      <c r="S460" s="26"/>
      <c r="T460" s="26"/>
      <c r="U460" s="26"/>
    </row>
    <row r="461" spans="1:21" x14ac:dyDescent="0.3">
      <c r="A461" s="26"/>
      <c r="B461" s="29">
        <v>44931</v>
      </c>
      <c r="C461" s="28" t="s">
        <v>13</v>
      </c>
      <c r="D461" s="28" t="s">
        <v>75</v>
      </c>
      <c r="E461" s="28" t="s">
        <v>47</v>
      </c>
      <c r="F461" s="28" t="s">
        <v>39</v>
      </c>
      <c r="G461" s="28" t="s">
        <v>31</v>
      </c>
      <c r="H461" s="28" t="s">
        <v>85</v>
      </c>
      <c r="I461" s="28">
        <v>1650</v>
      </c>
      <c r="J461" s="28">
        <v>61000</v>
      </c>
      <c r="K461" s="28">
        <v>3050</v>
      </c>
      <c r="L461" s="28">
        <v>152</v>
      </c>
      <c r="M461" s="28">
        <v>0.05</v>
      </c>
      <c r="N461" s="28">
        <v>22875</v>
      </c>
      <c r="O461" s="28">
        <v>0.05</v>
      </c>
      <c r="P461" s="28">
        <v>0.54</v>
      </c>
      <c r="Q461" s="28">
        <v>12.86</v>
      </c>
      <c r="R461" s="26"/>
      <c r="S461" s="26"/>
      <c r="T461" s="26"/>
      <c r="U461" s="26"/>
    </row>
    <row r="462" spans="1:21" x14ac:dyDescent="0.3">
      <c r="A462" s="26"/>
      <c r="B462" s="29">
        <v>45630</v>
      </c>
      <c r="C462" s="28" t="s">
        <v>10</v>
      </c>
      <c r="D462" s="28" t="s">
        <v>68</v>
      </c>
      <c r="E462" s="28" t="s">
        <v>47</v>
      </c>
      <c r="F462" s="28" t="s">
        <v>41</v>
      </c>
      <c r="G462" s="28" t="s">
        <v>32</v>
      </c>
      <c r="H462" s="28" t="s">
        <v>85</v>
      </c>
      <c r="I462" s="28">
        <v>3050</v>
      </c>
      <c r="J462" s="28">
        <v>95000</v>
      </c>
      <c r="K462" s="28">
        <v>3800</v>
      </c>
      <c r="L462" s="28">
        <v>190</v>
      </c>
      <c r="M462" s="28">
        <v>0.05</v>
      </c>
      <c r="N462" s="28">
        <v>28500</v>
      </c>
      <c r="O462" s="28">
        <v>0.04</v>
      </c>
      <c r="P462" s="28">
        <v>0.8</v>
      </c>
      <c r="Q462" s="28">
        <v>8.34</v>
      </c>
      <c r="R462" s="26"/>
      <c r="S462" s="26"/>
      <c r="T462" s="26"/>
      <c r="U462" s="26"/>
    </row>
    <row r="463" spans="1:21" x14ac:dyDescent="0.3">
      <c r="A463" s="26"/>
      <c r="B463" s="29">
        <v>45637</v>
      </c>
      <c r="C463" s="28" t="s">
        <v>10</v>
      </c>
      <c r="D463" s="28" t="s">
        <v>76</v>
      </c>
      <c r="E463" s="28" t="s">
        <v>49</v>
      </c>
      <c r="F463" s="28" t="s">
        <v>42</v>
      </c>
      <c r="G463" s="28" t="s">
        <v>33</v>
      </c>
      <c r="H463" s="28" t="s">
        <v>85</v>
      </c>
      <c r="I463" s="28">
        <v>2450</v>
      </c>
      <c r="J463" s="28">
        <v>78000</v>
      </c>
      <c r="K463" s="28">
        <v>3900</v>
      </c>
      <c r="L463" s="28">
        <v>195</v>
      </c>
      <c r="M463" s="28">
        <v>0.05</v>
      </c>
      <c r="N463" s="28">
        <v>29250</v>
      </c>
      <c r="O463" s="28">
        <v>0.05</v>
      </c>
      <c r="P463" s="28">
        <v>0.63</v>
      </c>
      <c r="Q463" s="28">
        <v>10.94</v>
      </c>
      <c r="R463" s="26"/>
      <c r="S463" s="26"/>
      <c r="T463" s="26"/>
      <c r="U463" s="26"/>
    </row>
    <row r="464" spans="1:21" x14ac:dyDescent="0.3">
      <c r="A464" s="26"/>
      <c r="B464" s="29">
        <v>45644</v>
      </c>
      <c r="C464" s="28" t="s">
        <v>11</v>
      </c>
      <c r="D464" s="28" t="s">
        <v>79</v>
      </c>
      <c r="E464" s="28" t="s">
        <v>47</v>
      </c>
      <c r="F464" s="28" t="s">
        <v>42</v>
      </c>
      <c r="G464" s="28" t="s">
        <v>30</v>
      </c>
      <c r="H464" s="28" t="s">
        <v>85</v>
      </c>
      <c r="I464" s="28">
        <v>5000</v>
      </c>
      <c r="J464" s="28">
        <v>54000</v>
      </c>
      <c r="K464" s="28">
        <v>1620</v>
      </c>
      <c r="L464" s="28">
        <v>81</v>
      </c>
      <c r="M464" s="28">
        <v>0.05</v>
      </c>
      <c r="N464" s="28">
        <v>20250</v>
      </c>
      <c r="O464" s="28">
        <v>0.03</v>
      </c>
      <c r="P464" s="28">
        <v>3.09</v>
      </c>
      <c r="Q464" s="28">
        <v>3.05</v>
      </c>
      <c r="R464" s="26"/>
      <c r="S464" s="26"/>
      <c r="T464" s="26"/>
      <c r="U464" s="26"/>
    </row>
    <row r="465" spans="1:21" x14ac:dyDescent="0.3">
      <c r="A465" s="26"/>
      <c r="B465" s="29">
        <v>45651</v>
      </c>
      <c r="C465" s="28" t="s">
        <v>10</v>
      </c>
      <c r="D465" s="28" t="s">
        <v>65</v>
      </c>
      <c r="E465" s="28" t="s">
        <v>47</v>
      </c>
      <c r="F465" s="28" t="s">
        <v>36</v>
      </c>
      <c r="G465" s="28" t="s">
        <v>33</v>
      </c>
      <c r="H465" s="28" t="s">
        <v>85</v>
      </c>
      <c r="I465" s="28">
        <v>3150</v>
      </c>
      <c r="J465" s="28">
        <v>98000</v>
      </c>
      <c r="K465" s="28">
        <v>3920</v>
      </c>
      <c r="L465" s="28">
        <v>196</v>
      </c>
      <c r="M465" s="28">
        <v>0.05</v>
      </c>
      <c r="N465" s="28">
        <v>29400</v>
      </c>
      <c r="O465" s="28">
        <v>0.04</v>
      </c>
      <c r="P465" s="28">
        <v>0.8</v>
      </c>
      <c r="Q465" s="28">
        <v>8.33</v>
      </c>
      <c r="R465" s="26"/>
      <c r="S465" s="26"/>
      <c r="T465" s="26"/>
      <c r="U465" s="26"/>
    </row>
    <row r="466" spans="1:21" x14ac:dyDescent="0.3">
      <c r="A466" s="26"/>
      <c r="B466" s="29">
        <v>44966</v>
      </c>
      <c r="C466" s="28" t="s">
        <v>12</v>
      </c>
      <c r="D466" s="28" t="s">
        <v>79</v>
      </c>
      <c r="E466" s="28" t="s">
        <v>47</v>
      </c>
      <c r="F466" s="28" t="s">
        <v>34</v>
      </c>
      <c r="G466" s="28" t="s">
        <v>31</v>
      </c>
      <c r="H466" s="28" t="s">
        <v>85</v>
      </c>
      <c r="I466" s="28">
        <v>1950</v>
      </c>
      <c r="J466" s="28">
        <v>68000</v>
      </c>
      <c r="K466" s="28">
        <v>3400</v>
      </c>
      <c r="L466" s="28">
        <v>170</v>
      </c>
      <c r="M466" s="28">
        <v>0.05</v>
      </c>
      <c r="N466" s="28">
        <v>25500</v>
      </c>
      <c r="O466" s="28">
        <v>0.05</v>
      </c>
      <c r="P466" s="28">
        <v>0.56999999999999995</v>
      </c>
      <c r="Q466" s="28">
        <v>12.08</v>
      </c>
      <c r="R466" s="26"/>
      <c r="S466" s="26"/>
      <c r="T466" s="26"/>
      <c r="U466" s="26"/>
    </row>
    <row r="467" spans="1:21" x14ac:dyDescent="0.3">
      <c r="A467" s="26"/>
      <c r="B467" s="29">
        <v>44973</v>
      </c>
      <c r="C467" s="28" t="s">
        <v>13</v>
      </c>
      <c r="D467" s="28" t="s">
        <v>78</v>
      </c>
      <c r="E467" s="28" t="s">
        <v>48</v>
      </c>
      <c r="F467" s="28" t="s">
        <v>41</v>
      </c>
      <c r="G467" s="28" t="s">
        <v>32</v>
      </c>
      <c r="H467" s="28" t="s">
        <v>85</v>
      </c>
      <c r="I467" s="28">
        <v>3550</v>
      </c>
      <c r="J467" s="28">
        <v>112000</v>
      </c>
      <c r="K467" s="28">
        <v>4480</v>
      </c>
      <c r="L467" s="28">
        <v>224</v>
      </c>
      <c r="M467" s="28">
        <v>0.05</v>
      </c>
      <c r="N467" s="28">
        <v>33600</v>
      </c>
      <c r="O467" s="28">
        <v>0.04</v>
      </c>
      <c r="P467" s="28">
        <v>0.79</v>
      </c>
      <c r="Q467" s="28">
        <v>8.4600000000000009</v>
      </c>
      <c r="R467" s="26"/>
      <c r="S467" s="26"/>
      <c r="T467" s="26"/>
      <c r="U467" s="26"/>
    </row>
    <row r="468" spans="1:21" x14ac:dyDescent="0.3">
      <c r="A468" s="26"/>
      <c r="B468" s="29">
        <v>44980</v>
      </c>
      <c r="C468" s="28" t="s">
        <v>11</v>
      </c>
      <c r="D468" s="28" t="s">
        <v>84</v>
      </c>
      <c r="E468" s="28" t="s">
        <v>48</v>
      </c>
      <c r="F468" s="28" t="s">
        <v>45</v>
      </c>
      <c r="G468" s="28" t="s">
        <v>31</v>
      </c>
      <c r="H468" s="28" t="s">
        <v>85</v>
      </c>
      <c r="I468" s="28">
        <v>2150</v>
      </c>
      <c r="J468" s="28">
        <v>72000</v>
      </c>
      <c r="K468" s="28">
        <v>3600</v>
      </c>
      <c r="L468" s="28">
        <v>180</v>
      </c>
      <c r="M468" s="28">
        <v>0.05</v>
      </c>
      <c r="N468" s="28">
        <v>27000</v>
      </c>
      <c r="O468" s="28">
        <v>0.05</v>
      </c>
      <c r="P468" s="28">
        <v>0.6</v>
      </c>
      <c r="Q468" s="28">
        <v>11.56</v>
      </c>
      <c r="R468" s="26"/>
      <c r="S468" s="26"/>
      <c r="T468" s="26"/>
      <c r="U468" s="26"/>
    </row>
    <row r="469" spans="1:21" x14ac:dyDescent="0.3">
      <c r="A469" s="26"/>
      <c r="B469" s="29">
        <v>44987</v>
      </c>
      <c r="C469" s="28" t="s">
        <v>12</v>
      </c>
      <c r="D469" s="28" t="s">
        <v>84</v>
      </c>
      <c r="E469" s="28" t="s">
        <v>48</v>
      </c>
      <c r="F469" s="28" t="s">
        <v>40</v>
      </c>
      <c r="G469" s="28" t="s">
        <v>30</v>
      </c>
      <c r="H469" s="28" t="s">
        <v>85</v>
      </c>
      <c r="I469" s="28">
        <v>5500</v>
      </c>
      <c r="J469" s="28">
        <v>59000</v>
      </c>
      <c r="K469" s="28">
        <v>1770</v>
      </c>
      <c r="L469" s="28">
        <v>88</v>
      </c>
      <c r="M469" s="28">
        <v>0.05</v>
      </c>
      <c r="N469" s="28">
        <v>22125</v>
      </c>
      <c r="O469" s="28">
        <v>0.03</v>
      </c>
      <c r="P469" s="28">
        <v>3.11</v>
      </c>
      <c r="Q469" s="28">
        <v>3.02</v>
      </c>
      <c r="R469" s="26"/>
      <c r="S469" s="26"/>
      <c r="T469" s="26"/>
      <c r="U469" s="26"/>
    </row>
    <row r="470" spans="1:21" x14ac:dyDescent="0.3">
      <c r="A470" s="26"/>
      <c r="B470" s="29">
        <v>44994</v>
      </c>
      <c r="C470" s="28" t="s">
        <v>11</v>
      </c>
      <c r="D470" s="28" t="s">
        <v>79</v>
      </c>
      <c r="E470" s="28" t="s">
        <v>47</v>
      </c>
      <c r="F470" s="28" t="s">
        <v>38</v>
      </c>
      <c r="G470" s="28" t="s">
        <v>33</v>
      </c>
      <c r="H470" s="28" t="s">
        <v>85</v>
      </c>
      <c r="I470" s="28">
        <v>2950</v>
      </c>
      <c r="J470" s="28">
        <v>92000</v>
      </c>
      <c r="K470" s="28">
        <v>3680</v>
      </c>
      <c r="L470" s="28">
        <v>184</v>
      </c>
      <c r="M470" s="28">
        <v>0.05</v>
      </c>
      <c r="N470" s="28">
        <v>27600</v>
      </c>
      <c r="O470" s="28">
        <v>0.04</v>
      </c>
      <c r="P470" s="28">
        <v>0.8</v>
      </c>
      <c r="Q470" s="28">
        <v>8.36</v>
      </c>
      <c r="R470" s="26"/>
      <c r="S470" s="26"/>
      <c r="T470" s="26"/>
      <c r="U470" s="26"/>
    </row>
    <row r="471" spans="1:21" x14ac:dyDescent="0.3">
      <c r="A471" s="26"/>
      <c r="B471" s="29">
        <v>45001</v>
      </c>
      <c r="C471" s="28" t="s">
        <v>10</v>
      </c>
      <c r="D471" s="28" t="s">
        <v>75</v>
      </c>
      <c r="E471" s="28" t="s">
        <v>47</v>
      </c>
      <c r="F471" s="28" t="s">
        <v>41</v>
      </c>
      <c r="G471" s="28" t="s">
        <v>31</v>
      </c>
      <c r="H471" s="28" t="s">
        <v>85</v>
      </c>
      <c r="I471" s="28">
        <v>2250</v>
      </c>
      <c r="J471" s="28">
        <v>74000</v>
      </c>
      <c r="K471" s="28">
        <v>3700</v>
      </c>
      <c r="L471" s="28">
        <v>185</v>
      </c>
      <c r="M471" s="28">
        <v>0.05</v>
      </c>
      <c r="N471" s="28">
        <v>27750</v>
      </c>
      <c r="O471" s="28">
        <v>0.05</v>
      </c>
      <c r="P471" s="28">
        <v>0.61</v>
      </c>
      <c r="Q471" s="28">
        <v>11.33</v>
      </c>
      <c r="R471" s="26"/>
      <c r="S471" s="26"/>
      <c r="T471" s="26"/>
      <c r="U471" s="26"/>
    </row>
    <row r="472" spans="1:21" x14ac:dyDescent="0.3">
      <c r="A472" s="26"/>
      <c r="B472" s="29">
        <v>45008</v>
      </c>
      <c r="C472" s="28" t="s">
        <v>11</v>
      </c>
      <c r="D472" s="28" t="s">
        <v>73</v>
      </c>
      <c r="E472" s="28" t="s">
        <v>47</v>
      </c>
      <c r="F472" s="28" t="s">
        <v>35</v>
      </c>
      <c r="G472" s="28" t="s">
        <v>32</v>
      </c>
      <c r="H472" s="28" t="s">
        <v>86</v>
      </c>
      <c r="I472" s="28">
        <v>3750</v>
      </c>
      <c r="J472" s="28">
        <v>118000</v>
      </c>
      <c r="K472" s="28">
        <v>4720</v>
      </c>
      <c r="L472" s="28">
        <v>236</v>
      </c>
      <c r="M472" s="28">
        <v>0.05</v>
      </c>
      <c r="N472" s="28">
        <v>35400</v>
      </c>
      <c r="O472" s="28">
        <v>0.04</v>
      </c>
      <c r="P472" s="28">
        <v>0.79</v>
      </c>
      <c r="Q472" s="28">
        <v>8.44</v>
      </c>
      <c r="R472" s="26"/>
      <c r="S472" s="26"/>
      <c r="T472" s="26"/>
      <c r="U472" s="26"/>
    </row>
    <row r="473" spans="1:21" x14ac:dyDescent="0.3">
      <c r="A473" s="26"/>
      <c r="B473" s="29">
        <v>45015</v>
      </c>
      <c r="C473" s="28" t="s">
        <v>11</v>
      </c>
      <c r="D473" s="28" t="s">
        <v>77</v>
      </c>
      <c r="E473" s="28" t="s">
        <v>49</v>
      </c>
      <c r="F473" s="28" t="s">
        <v>41</v>
      </c>
      <c r="G473" s="28" t="s">
        <v>31</v>
      </c>
      <c r="H473" s="28" t="s">
        <v>86</v>
      </c>
      <c r="I473" s="28">
        <v>2550</v>
      </c>
      <c r="J473" s="28">
        <v>79000</v>
      </c>
      <c r="K473" s="28">
        <v>3950</v>
      </c>
      <c r="L473" s="28">
        <v>198</v>
      </c>
      <c r="M473" s="28">
        <v>0.05</v>
      </c>
      <c r="N473" s="28">
        <v>29625</v>
      </c>
      <c r="O473" s="28">
        <v>0.05</v>
      </c>
      <c r="P473" s="28">
        <v>0.65</v>
      </c>
      <c r="Q473" s="28">
        <v>10.62</v>
      </c>
      <c r="R473" s="26"/>
      <c r="S473" s="26"/>
      <c r="T473" s="26"/>
      <c r="U473" s="26"/>
    </row>
    <row r="474" spans="1:21" x14ac:dyDescent="0.3">
      <c r="A474" s="26"/>
      <c r="B474" s="29">
        <v>45022</v>
      </c>
      <c r="C474" s="28" t="s">
        <v>13</v>
      </c>
      <c r="D474" s="28" t="s">
        <v>66</v>
      </c>
      <c r="E474" s="28" t="s">
        <v>48</v>
      </c>
      <c r="F474" s="28" t="s">
        <v>45</v>
      </c>
      <c r="G474" s="28" t="s">
        <v>30</v>
      </c>
      <c r="H474" s="28" t="s">
        <v>86</v>
      </c>
      <c r="I474" s="28">
        <v>5700</v>
      </c>
      <c r="J474" s="28">
        <v>61000</v>
      </c>
      <c r="K474" s="28">
        <v>1830</v>
      </c>
      <c r="L474" s="28">
        <v>92</v>
      </c>
      <c r="M474" s="28">
        <v>0.05</v>
      </c>
      <c r="N474" s="28">
        <v>22875</v>
      </c>
      <c r="O474" s="28">
        <v>0.03</v>
      </c>
      <c r="P474" s="28">
        <v>3.11</v>
      </c>
      <c r="Q474" s="28">
        <v>3.01</v>
      </c>
      <c r="R474" s="26"/>
      <c r="S474" s="26"/>
      <c r="T474" s="26"/>
      <c r="U474" s="26"/>
    </row>
    <row r="475" spans="1:21" x14ac:dyDescent="0.3">
      <c r="A475" s="26"/>
      <c r="B475" s="29">
        <v>45029</v>
      </c>
      <c r="C475" s="28" t="s">
        <v>12</v>
      </c>
      <c r="D475" s="28" t="s">
        <v>81</v>
      </c>
      <c r="E475" s="28" t="s">
        <v>48</v>
      </c>
      <c r="F475" s="28" t="s">
        <v>42</v>
      </c>
      <c r="G475" s="28" t="s">
        <v>33</v>
      </c>
      <c r="H475" s="28" t="s">
        <v>86</v>
      </c>
      <c r="I475" s="28">
        <v>3250</v>
      </c>
      <c r="J475" s="28">
        <v>100000</v>
      </c>
      <c r="K475" s="28">
        <v>4000</v>
      </c>
      <c r="L475" s="28">
        <v>200</v>
      </c>
      <c r="M475" s="28">
        <v>0.05</v>
      </c>
      <c r="N475" s="28">
        <v>30000</v>
      </c>
      <c r="O475" s="28">
        <v>0.04</v>
      </c>
      <c r="P475" s="28">
        <v>0.81</v>
      </c>
      <c r="Q475" s="28">
        <v>8.23</v>
      </c>
      <c r="R475" s="26"/>
      <c r="S475" s="26"/>
      <c r="T475" s="26"/>
      <c r="U475" s="26"/>
    </row>
    <row r="476" spans="1:21" x14ac:dyDescent="0.3">
      <c r="A476" s="26"/>
      <c r="B476" s="29">
        <v>45036</v>
      </c>
      <c r="C476" s="28" t="s">
        <v>11</v>
      </c>
      <c r="D476" s="28" t="s">
        <v>69</v>
      </c>
      <c r="E476" s="28" t="s">
        <v>47</v>
      </c>
      <c r="F476" s="28" t="s">
        <v>45</v>
      </c>
      <c r="G476" s="28" t="s">
        <v>31</v>
      </c>
      <c r="H476" s="28" t="s">
        <v>86</v>
      </c>
      <c r="I476" s="28">
        <v>2350</v>
      </c>
      <c r="J476" s="28">
        <v>76000</v>
      </c>
      <c r="K476" s="28">
        <v>3800</v>
      </c>
      <c r="L476" s="28">
        <v>190</v>
      </c>
      <c r="M476" s="28">
        <v>0.05</v>
      </c>
      <c r="N476" s="28">
        <v>28500</v>
      </c>
      <c r="O476" s="28">
        <v>0.05</v>
      </c>
      <c r="P476" s="28">
        <v>0.62</v>
      </c>
      <c r="Q476" s="28">
        <v>11.13</v>
      </c>
      <c r="R476" s="26"/>
      <c r="S476" s="26"/>
      <c r="T476" s="26"/>
      <c r="U476" s="26"/>
    </row>
    <row r="477" spans="1:21" x14ac:dyDescent="0.3">
      <c r="A477" s="26"/>
      <c r="B477" s="29">
        <v>45043</v>
      </c>
      <c r="C477" s="28" t="s">
        <v>11</v>
      </c>
      <c r="D477" s="28" t="s">
        <v>68</v>
      </c>
      <c r="E477" s="28" t="s">
        <v>47</v>
      </c>
      <c r="F477" s="28" t="s">
        <v>42</v>
      </c>
      <c r="G477" s="28" t="s">
        <v>32</v>
      </c>
      <c r="H477" s="28" t="s">
        <v>86</v>
      </c>
      <c r="I477" s="28">
        <v>3950</v>
      </c>
      <c r="J477" s="28">
        <v>122000</v>
      </c>
      <c r="K477" s="28">
        <v>4880</v>
      </c>
      <c r="L477" s="28">
        <v>244</v>
      </c>
      <c r="M477" s="28">
        <v>0.05</v>
      </c>
      <c r="N477" s="28">
        <v>36600</v>
      </c>
      <c r="O477" s="28">
        <v>0.04</v>
      </c>
      <c r="P477" s="28">
        <v>0.81</v>
      </c>
      <c r="Q477" s="28">
        <v>8.27</v>
      </c>
      <c r="R477" s="26"/>
      <c r="S477" s="26"/>
      <c r="T477" s="26"/>
      <c r="U477" s="26"/>
    </row>
    <row r="478" spans="1:21" x14ac:dyDescent="0.3">
      <c r="A478" s="26"/>
      <c r="B478" s="29">
        <v>45050</v>
      </c>
      <c r="C478" s="28" t="s">
        <v>11</v>
      </c>
      <c r="D478" s="28" t="s">
        <v>70</v>
      </c>
      <c r="E478" s="28" t="s">
        <v>49</v>
      </c>
      <c r="F478" s="28" t="s">
        <v>44</v>
      </c>
      <c r="G478" s="28" t="s">
        <v>31</v>
      </c>
      <c r="H478" s="28" t="s">
        <v>86</v>
      </c>
      <c r="I478" s="28">
        <v>2750</v>
      </c>
      <c r="J478" s="28">
        <v>84000</v>
      </c>
      <c r="K478" s="28">
        <v>4200</v>
      </c>
      <c r="L478" s="28">
        <v>210</v>
      </c>
      <c r="M478" s="28">
        <v>0.05</v>
      </c>
      <c r="N478" s="28">
        <v>31500</v>
      </c>
      <c r="O478" s="28">
        <v>0.05</v>
      </c>
      <c r="P478" s="28">
        <v>0.65</v>
      </c>
      <c r="Q478" s="28">
        <v>10.45</v>
      </c>
      <c r="R478" s="26"/>
      <c r="S478" s="26"/>
      <c r="T478" s="26"/>
      <c r="U478" s="26"/>
    </row>
    <row r="479" spans="1:21" x14ac:dyDescent="0.3">
      <c r="A479" s="26"/>
      <c r="B479" s="29">
        <v>45057</v>
      </c>
      <c r="C479" s="28" t="s">
        <v>11</v>
      </c>
      <c r="D479" s="28" t="s">
        <v>67</v>
      </c>
      <c r="E479" s="28" t="s">
        <v>48</v>
      </c>
      <c r="F479" s="28" t="s">
        <v>41</v>
      </c>
      <c r="G479" s="28" t="s">
        <v>30</v>
      </c>
      <c r="H479" s="28" t="s">
        <v>86</v>
      </c>
      <c r="I479" s="28">
        <v>5300</v>
      </c>
      <c r="J479" s="28">
        <v>57000</v>
      </c>
      <c r="K479" s="28">
        <v>1710</v>
      </c>
      <c r="L479" s="28">
        <v>86</v>
      </c>
      <c r="M479" s="28">
        <v>0.05</v>
      </c>
      <c r="N479" s="28">
        <v>21375</v>
      </c>
      <c r="O479" s="28">
        <v>0.03</v>
      </c>
      <c r="P479" s="28">
        <v>3.1</v>
      </c>
      <c r="Q479" s="28">
        <v>3.03</v>
      </c>
      <c r="R479" s="26"/>
      <c r="S479" s="26"/>
      <c r="T479" s="26"/>
      <c r="U479" s="26"/>
    </row>
    <row r="480" spans="1:21" x14ac:dyDescent="0.3">
      <c r="A480" s="26"/>
      <c r="B480" s="29">
        <v>45064</v>
      </c>
      <c r="C480" s="28" t="s">
        <v>13</v>
      </c>
      <c r="D480" s="28" t="s">
        <v>76</v>
      </c>
      <c r="E480" s="28" t="s">
        <v>49</v>
      </c>
      <c r="F480" s="28" t="s">
        <v>41</v>
      </c>
      <c r="G480" s="28" t="s">
        <v>33</v>
      </c>
      <c r="H480" s="28" t="s">
        <v>86</v>
      </c>
      <c r="I480" s="28">
        <v>3350</v>
      </c>
      <c r="J480" s="28">
        <v>102000</v>
      </c>
      <c r="K480" s="28">
        <v>4080</v>
      </c>
      <c r="L480" s="28">
        <v>204</v>
      </c>
      <c r="M480" s="28">
        <v>0.05</v>
      </c>
      <c r="N480" s="28">
        <v>30600</v>
      </c>
      <c r="O480" s="28">
        <v>0.04</v>
      </c>
      <c r="P480" s="28">
        <v>0.82</v>
      </c>
      <c r="Q480" s="28">
        <v>8.1300000000000008</v>
      </c>
      <c r="R480" s="26"/>
      <c r="S480" s="26"/>
      <c r="T480" s="26"/>
      <c r="U480" s="26"/>
    </row>
    <row r="481" spans="1:21" x14ac:dyDescent="0.3">
      <c r="A481" s="26"/>
      <c r="B481" s="29">
        <v>45071</v>
      </c>
      <c r="C481" s="28" t="s">
        <v>12</v>
      </c>
      <c r="D481" s="28" t="s">
        <v>69</v>
      </c>
      <c r="E481" s="28" t="s">
        <v>47</v>
      </c>
      <c r="F481" s="28" t="s">
        <v>40</v>
      </c>
      <c r="G481" s="28" t="s">
        <v>31</v>
      </c>
      <c r="H481" s="28" t="s">
        <v>86</v>
      </c>
      <c r="I481" s="28">
        <v>2450</v>
      </c>
      <c r="J481" s="28">
        <v>78000</v>
      </c>
      <c r="K481" s="28">
        <v>3900</v>
      </c>
      <c r="L481" s="28">
        <v>195</v>
      </c>
      <c r="M481" s="28">
        <v>0.05</v>
      </c>
      <c r="N481" s="28">
        <v>29250</v>
      </c>
      <c r="O481" s="28">
        <v>0.05</v>
      </c>
      <c r="P481" s="28">
        <v>0.63</v>
      </c>
      <c r="Q481" s="28">
        <v>10.94</v>
      </c>
      <c r="R481" s="26"/>
      <c r="S481" s="26"/>
      <c r="T481" s="26"/>
      <c r="U481" s="26"/>
    </row>
    <row r="482" spans="1:21" x14ac:dyDescent="0.3">
      <c r="A482" s="26"/>
      <c r="B482" s="29">
        <v>45078</v>
      </c>
      <c r="C482" s="28" t="s">
        <v>10</v>
      </c>
      <c r="D482" s="28" t="s">
        <v>65</v>
      </c>
      <c r="E482" s="28" t="s">
        <v>47</v>
      </c>
      <c r="F482" s="28" t="s">
        <v>45</v>
      </c>
      <c r="G482" s="28" t="s">
        <v>32</v>
      </c>
      <c r="H482" s="28" t="s">
        <v>86</v>
      </c>
      <c r="I482" s="28">
        <v>3650</v>
      </c>
      <c r="J482" s="28">
        <v>115000</v>
      </c>
      <c r="K482" s="28">
        <v>4600</v>
      </c>
      <c r="L482" s="28">
        <v>230</v>
      </c>
      <c r="M482" s="28">
        <v>0.05</v>
      </c>
      <c r="N482" s="28">
        <v>34500</v>
      </c>
      <c r="O482" s="28">
        <v>0.04</v>
      </c>
      <c r="P482" s="28">
        <v>0.79</v>
      </c>
      <c r="Q482" s="28">
        <v>8.4499999999999993</v>
      </c>
      <c r="R482" s="26"/>
      <c r="S482" s="26"/>
      <c r="T482" s="26"/>
      <c r="U482" s="26"/>
    </row>
    <row r="483" spans="1:21" x14ac:dyDescent="0.3">
      <c r="A483" s="26"/>
      <c r="B483" s="29">
        <v>45085</v>
      </c>
      <c r="C483" s="28" t="s">
        <v>13</v>
      </c>
      <c r="D483" s="28" t="s">
        <v>79</v>
      </c>
      <c r="E483" s="28" t="s">
        <v>47</v>
      </c>
      <c r="F483" s="28" t="s">
        <v>45</v>
      </c>
      <c r="G483" s="28" t="s">
        <v>31</v>
      </c>
      <c r="H483" s="28" t="s">
        <v>86</v>
      </c>
      <c r="I483" s="28">
        <v>2150</v>
      </c>
      <c r="J483" s="28">
        <v>73000</v>
      </c>
      <c r="K483" s="28">
        <v>3650</v>
      </c>
      <c r="L483" s="28">
        <v>182</v>
      </c>
      <c r="M483" s="28">
        <v>0.05</v>
      </c>
      <c r="N483" s="28">
        <v>27375</v>
      </c>
      <c r="O483" s="28">
        <v>0.05</v>
      </c>
      <c r="P483" s="28">
        <v>0.59</v>
      </c>
      <c r="Q483" s="28">
        <v>11.73</v>
      </c>
      <c r="R483" s="26"/>
      <c r="S483" s="26"/>
      <c r="T483" s="26"/>
      <c r="U483" s="26"/>
    </row>
    <row r="484" spans="1:21" x14ac:dyDescent="0.3">
      <c r="A484" s="26"/>
      <c r="B484" s="29">
        <v>45092</v>
      </c>
      <c r="C484" s="28" t="s">
        <v>12</v>
      </c>
      <c r="D484" s="28" t="s">
        <v>68</v>
      </c>
      <c r="E484" s="28" t="s">
        <v>47</v>
      </c>
      <c r="F484" s="28" t="s">
        <v>40</v>
      </c>
      <c r="G484" s="28" t="s">
        <v>30</v>
      </c>
      <c r="H484" s="28" t="s">
        <v>86</v>
      </c>
      <c r="I484" s="28">
        <v>5900</v>
      </c>
      <c r="J484" s="28">
        <v>62000</v>
      </c>
      <c r="K484" s="28">
        <v>1860</v>
      </c>
      <c r="L484" s="28">
        <v>93</v>
      </c>
      <c r="M484" s="28">
        <v>0.05</v>
      </c>
      <c r="N484" s="28">
        <v>23250</v>
      </c>
      <c r="O484" s="28">
        <v>0.03</v>
      </c>
      <c r="P484" s="28">
        <v>3.17</v>
      </c>
      <c r="Q484" s="28">
        <v>2.94</v>
      </c>
      <c r="R484" s="26"/>
      <c r="S484" s="26"/>
      <c r="T484" s="26"/>
      <c r="U484" s="26"/>
    </row>
    <row r="485" spans="1:21" x14ac:dyDescent="0.3">
      <c r="A485" s="26"/>
      <c r="B485" s="29">
        <v>45099</v>
      </c>
      <c r="C485" s="28" t="s">
        <v>13</v>
      </c>
      <c r="D485" s="28" t="s">
        <v>65</v>
      </c>
      <c r="E485" s="28" t="s">
        <v>47</v>
      </c>
      <c r="F485" s="28" t="s">
        <v>44</v>
      </c>
      <c r="G485" s="28" t="s">
        <v>33</v>
      </c>
      <c r="H485" s="28" t="s">
        <v>86</v>
      </c>
      <c r="I485" s="28">
        <v>3550</v>
      </c>
      <c r="J485" s="28">
        <v>108000</v>
      </c>
      <c r="K485" s="28">
        <v>4320</v>
      </c>
      <c r="L485" s="28">
        <v>216</v>
      </c>
      <c r="M485" s="28">
        <v>0.05</v>
      </c>
      <c r="N485" s="28">
        <v>32400</v>
      </c>
      <c r="O485" s="28">
        <v>0.04</v>
      </c>
      <c r="P485" s="28">
        <v>0.82</v>
      </c>
      <c r="Q485" s="28">
        <v>8.1300000000000008</v>
      </c>
      <c r="R485" s="26"/>
      <c r="S485" s="26"/>
      <c r="T485" s="26"/>
      <c r="U485" s="26"/>
    </row>
    <row r="486" spans="1:21" x14ac:dyDescent="0.3">
      <c r="A486" s="26"/>
      <c r="B486" s="29">
        <v>45106</v>
      </c>
      <c r="C486" s="28" t="s">
        <v>11</v>
      </c>
      <c r="D486" s="28" t="s">
        <v>67</v>
      </c>
      <c r="E486" s="28" t="s">
        <v>48</v>
      </c>
      <c r="F486" s="28" t="s">
        <v>43</v>
      </c>
      <c r="G486" s="28" t="s">
        <v>31</v>
      </c>
      <c r="H486" s="28" t="s">
        <v>86</v>
      </c>
      <c r="I486" s="28">
        <v>2650</v>
      </c>
      <c r="J486" s="28">
        <v>82000</v>
      </c>
      <c r="K486" s="28">
        <v>4100</v>
      </c>
      <c r="L486" s="28">
        <v>205</v>
      </c>
      <c r="M486" s="28">
        <v>0.05</v>
      </c>
      <c r="N486" s="28">
        <v>30750</v>
      </c>
      <c r="O486" s="28">
        <v>0.05</v>
      </c>
      <c r="P486" s="28">
        <v>0.65</v>
      </c>
      <c r="Q486" s="28">
        <v>10.6</v>
      </c>
      <c r="R486" s="26"/>
      <c r="S486" s="26"/>
      <c r="T486" s="26"/>
      <c r="U486" s="26"/>
    </row>
    <row r="487" spans="1:21" x14ac:dyDescent="0.3">
      <c r="A487" s="26"/>
      <c r="B487" s="29">
        <v>45113</v>
      </c>
      <c r="C487" s="28" t="s">
        <v>11</v>
      </c>
      <c r="D487" s="28" t="s">
        <v>71</v>
      </c>
      <c r="E487" s="28" t="s">
        <v>48</v>
      </c>
      <c r="F487" s="28" t="s">
        <v>45</v>
      </c>
      <c r="G487" s="28" t="s">
        <v>32</v>
      </c>
      <c r="H487" s="28" t="s">
        <v>87</v>
      </c>
      <c r="I487" s="28">
        <v>3850</v>
      </c>
      <c r="J487" s="28">
        <v>120000</v>
      </c>
      <c r="K487" s="28">
        <v>4800</v>
      </c>
      <c r="L487" s="28">
        <v>240</v>
      </c>
      <c r="M487" s="28">
        <v>0.05</v>
      </c>
      <c r="N487" s="28">
        <v>36000</v>
      </c>
      <c r="O487" s="28">
        <v>0.04</v>
      </c>
      <c r="P487" s="28">
        <v>0.8</v>
      </c>
      <c r="Q487" s="28">
        <v>8.35</v>
      </c>
      <c r="R487" s="26"/>
      <c r="S487" s="26"/>
      <c r="T487" s="26"/>
      <c r="U487" s="26"/>
    </row>
    <row r="488" spans="1:21" x14ac:dyDescent="0.3">
      <c r="A488" s="26"/>
      <c r="B488" s="29">
        <v>45120</v>
      </c>
      <c r="C488" s="28" t="s">
        <v>11</v>
      </c>
      <c r="D488" s="28" t="s">
        <v>74</v>
      </c>
      <c r="E488" s="28" t="s">
        <v>49</v>
      </c>
      <c r="F488" s="28" t="s">
        <v>45</v>
      </c>
      <c r="G488" s="28" t="s">
        <v>31</v>
      </c>
      <c r="H488" s="28" t="s">
        <v>87</v>
      </c>
      <c r="I488" s="28">
        <v>2450</v>
      </c>
      <c r="J488" s="28">
        <v>77000</v>
      </c>
      <c r="K488" s="28">
        <v>3850</v>
      </c>
      <c r="L488" s="28">
        <v>192</v>
      </c>
      <c r="M488" s="28">
        <v>0.05</v>
      </c>
      <c r="N488" s="28">
        <v>28875</v>
      </c>
      <c r="O488" s="28">
        <v>0.05</v>
      </c>
      <c r="P488" s="28">
        <v>0.64</v>
      </c>
      <c r="Q488" s="28">
        <v>10.79</v>
      </c>
      <c r="R488" s="26"/>
      <c r="S488" s="26"/>
      <c r="T488" s="26"/>
      <c r="U488" s="26"/>
    </row>
    <row r="489" spans="1:21" x14ac:dyDescent="0.3">
      <c r="A489" s="26"/>
      <c r="B489" s="29">
        <v>45127</v>
      </c>
      <c r="C489" s="28" t="s">
        <v>13</v>
      </c>
      <c r="D489" s="28" t="s">
        <v>82</v>
      </c>
      <c r="E489" s="28" t="s">
        <v>47</v>
      </c>
      <c r="F489" s="28" t="s">
        <v>45</v>
      </c>
      <c r="G489" s="28" t="s">
        <v>30</v>
      </c>
      <c r="H489" s="28" t="s">
        <v>87</v>
      </c>
      <c r="I489" s="28">
        <v>5800</v>
      </c>
      <c r="J489" s="28">
        <v>62000</v>
      </c>
      <c r="K489" s="28">
        <v>1860</v>
      </c>
      <c r="L489" s="28">
        <v>93</v>
      </c>
      <c r="M489" s="28">
        <v>0.05</v>
      </c>
      <c r="N489" s="28">
        <v>23250</v>
      </c>
      <c r="O489" s="28">
        <v>0.03</v>
      </c>
      <c r="P489" s="28">
        <v>3.12</v>
      </c>
      <c r="Q489" s="28">
        <v>3.01</v>
      </c>
      <c r="R489" s="26"/>
      <c r="S489" s="26"/>
      <c r="T489" s="26"/>
      <c r="U489" s="26"/>
    </row>
    <row r="490" spans="1:21" x14ac:dyDescent="0.3">
      <c r="A490" s="26"/>
      <c r="B490" s="29">
        <v>45134</v>
      </c>
      <c r="C490" s="28" t="s">
        <v>10</v>
      </c>
      <c r="D490" s="28" t="s">
        <v>77</v>
      </c>
      <c r="E490" s="28" t="s">
        <v>49</v>
      </c>
      <c r="F490" s="28" t="s">
        <v>38</v>
      </c>
      <c r="G490" s="28" t="s">
        <v>33</v>
      </c>
      <c r="H490" s="28" t="s">
        <v>87</v>
      </c>
      <c r="I490" s="28">
        <v>3450</v>
      </c>
      <c r="J490" s="28">
        <v>105000</v>
      </c>
      <c r="K490" s="28">
        <v>4200</v>
      </c>
      <c r="L490" s="28">
        <v>210</v>
      </c>
      <c r="M490" s="28">
        <v>0.05</v>
      </c>
      <c r="N490" s="28">
        <v>31500</v>
      </c>
      <c r="O490" s="28">
        <v>0.04</v>
      </c>
      <c r="P490" s="28">
        <v>0.82</v>
      </c>
      <c r="Q490" s="28">
        <v>8.1300000000000008</v>
      </c>
      <c r="R490" s="26"/>
      <c r="S490" s="26"/>
      <c r="T490" s="26"/>
      <c r="U490" s="26"/>
    </row>
    <row r="491" spans="1:21" x14ac:dyDescent="0.3">
      <c r="A491" s="26"/>
      <c r="B491" s="29">
        <v>45141</v>
      </c>
      <c r="C491" s="28" t="s">
        <v>13</v>
      </c>
      <c r="D491" s="28" t="s">
        <v>78</v>
      </c>
      <c r="E491" s="28" t="s">
        <v>48</v>
      </c>
      <c r="F491" s="28" t="s">
        <v>40</v>
      </c>
      <c r="G491" s="28" t="s">
        <v>31</v>
      </c>
      <c r="H491" s="28" t="s">
        <v>87</v>
      </c>
      <c r="I491" s="28">
        <v>2250</v>
      </c>
      <c r="J491" s="28">
        <v>74000</v>
      </c>
      <c r="K491" s="28">
        <v>3700</v>
      </c>
      <c r="L491" s="28">
        <v>185</v>
      </c>
      <c r="M491" s="28">
        <v>0.05</v>
      </c>
      <c r="N491" s="28">
        <v>27750</v>
      </c>
      <c r="O491" s="28">
        <v>0.05</v>
      </c>
      <c r="P491" s="28">
        <v>0.61</v>
      </c>
      <c r="Q491" s="28">
        <v>11.33</v>
      </c>
      <c r="R491" s="26"/>
      <c r="S491" s="26"/>
      <c r="T491" s="26"/>
      <c r="U491" s="26"/>
    </row>
    <row r="492" spans="1:21" x14ac:dyDescent="0.3">
      <c r="A492" s="26"/>
      <c r="B492" s="29">
        <v>45148</v>
      </c>
      <c r="C492" s="28" t="s">
        <v>11</v>
      </c>
      <c r="D492" s="28" t="s">
        <v>78</v>
      </c>
      <c r="E492" s="28" t="s">
        <v>48</v>
      </c>
      <c r="F492" s="28" t="s">
        <v>40</v>
      </c>
      <c r="G492" s="28" t="s">
        <v>32</v>
      </c>
      <c r="H492" s="28" t="s">
        <v>87</v>
      </c>
      <c r="I492" s="28">
        <v>4050</v>
      </c>
      <c r="J492" s="28">
        <v>125000</v>
      </c>
      <c r="K492" s="28">
        <v>5000</v>
      </c>
      <c r="L492" s="28">
        <v>250</v>
      </c>
      <c r="M492" s="28">
        <v>0.05</v>
      </c>
      <c r="N492" s="28">
        <v>37500</v>
      </c>
      <c r="O492" s="28">
        <v>0.04</v>
      </c>
      <c r="P492" s="28">
        <v>0.81</v>
      </c>
      <c r="Q492" s="28">
        <v>8.26</v>
      </c>
      <c r="R492" s="26"/>
      <c r="S492" s="26"/>
      <c r="T492" s="26"/>
      <c r="U492" s="26"/>
    </row>
    <row r="493" spans="1:21" x14ac:dyDescent="0.3">
      <c r="A493" s="26"/>
      <c r="B493" s="29">
        <v>45155</v>
      </c>
      <c r="C493" s="28" t="s">
        <v>12</v>
      </c>
      <c r="D493" s="28" t="s">
        <v>76</v>
      </c>
      <c r="E493" s="28" t="s">
        <v>49</v>
      </c>
      <c r="F493" s="28" t="s">
        <v>44</v>
      </c>
      <c r="G493" s="28" t="s">
        <v>31</v>
      </c>
      <c r="H493" s="28" t="s">
        <v>87</v>
      </c>
      <c r="I493" s="28">
        <v>2750</v>
      </c>
      <c r="J493" s="28">
        <v>85000</v>
      </c>
      <c r="K493" s="28">
        <v>4250</v>
      </c>
      <c r="L493" s="28">
        <v>212</v>
      </c>
      <c r="M493" s="28">
        <v>0.05</v>
      </c>
      <c r="N493" s="28">
        <v>31875</v>
      </c>
      <c r="O493" s="28">
        <v>0.05</v>
      </c>
      <c r="P493" s="28">
        <v>0.65</v>
      </c>
      <c r="Q493" s="28">
        <v>10.59</v>
      </c>
      <c r="R493" s="26"/>
      <c r="S493" s="26"/>
      <c r="T493" s="26"/>
      <c r="U493" s="26"/>
    </row>
    <row r="494" spans="1:21" x14ac:dyDescent="0.3">
      <c r="A494" s="26"/>
      <c r="B494" s="29">
        <v>45162</v>
      </c>
      <c r="C494" s="28" t="s">
        <v>10</v>
      </c>
      <c r="D494" s="28" t="s">
        <v>67</v>
      </c>
      <c r="E494" s="28" t="s">
        <v>48</v>
      </c>
      <c r="F494" s="28" t="s">
        <v>45</v>
      </c>
      <c r="G494" s="28" t="s">
        <v>30</v>
      </c>
      <c r="H494" s="28" t="s">
        <v>87</v>
      </c>
      <c r="I494" s="28">
        <v>5600</v>
      </c>
      <c r="J494" s="28">
        <v>60000</v>
      </c>
      <c r="K494" s="28">
        <v>1800</v>
      </c>
      <c r="L494" s="28">
        <v>90</v>
      </c>
      <c r="M494" s="28">
        <v>0.05</v>
      </c>
      <c r="N494" s="28">
        <v>22500</v>
      </c>
      <c r="O494" s="28">
        <v>0.03</v>
      </c>
      <c r="P494" s="28">
        <v>3.11</v>
      </c>
      <c r="Q494" s="28">
        <v>3.02</v>
      </c>
      <c r="R494" s="26"/>
      <c r="S494" s="26"/>
      <c r="T494" s="26"/>
      <c r="U494" s="26"/>
    </row>
    <row r="495" spans="1:21" x14ac:dyDescent="0.3">
      <c r="A495" s="26"/>
      <c r="B495" s="29">
        <v>45169</v>
      </c>
      <c r="C495" s="28" t="s">
        <v>12</v>
      </c>
      <c r="D495" s="28" t="s">
        <v>72</v>
      </c>
      <c r="E495" s="28" t="s">
        <v>47</v>
      </c>
      <c r="F495" s="28" t="s">
        <v>45</v>
      </c>
      <c r="G495" s="28" t="s">
        <v>33</v>
      </c>
      <c r="H495" s="28" t="s">
        <v>87</v>
      </c>
      <c r="I495" s="28">
        <v>3350</v>
      </c>
      <c r="J495" s="28">
        <v>102000</v>
      </c>
      <c r="K495" s="28">
        <v>4080</v>
      </c>
      <c r="L495" s="28">
        <v>204</v>
      </c>
      <c r="M495" s="28">
        <v>0.05</v>
      </c>
      <c r="N495" s="28">
        <v>30600</v>
      </c>
      <c r="O495" s="28">
        <v>0.04</v>
      </c>
      <c r="P495" s="28">
        <v>0.82</v>
      </c>
      <c r="Q495" s="28">
        <v>8.1300000000000008</v>
      </c>
      <c r="R495" s="26"/>
      <c r="S495" s="26"/>
      <c r="T495" s="26"/>
      <c r="U495" s="26"/>
    </row>
    <row r="496" spans="1:21" x14ac:dyDescent="0.3">
      <c r="A496" s="26"/>
      <c r="B496" s="29">
        <v>45176</v>
      </c>
      <c r="C496" s="28" t="s">
        <v>10</v>
      </c>
      <c r="D496" s="28" t="s">
        <v>68</v>
      </c>
      <c r="E496" s="28" t="s">
        <v>47</v>
      </c>
      <c r="F496" s="28" t="s">
        <v>41</v>
      </c>
      <c r="G496" s="28" t="s">
        <v>31</v>
      </c>
      <c r="H496" s="28" t="s">
        <v>87</v>
      </c>
      <c r="I496" s="28">
        <v>2550</v>
      </c>
      <c r="J496" s="28">
        <v>79000</v>
      </c>
      <c r="K496" s="28">
        <v>3950</v>
      </c>
      <c r="L496" s="28">
        <v>198</v>
      </c>
      <c r="M496" s="28">
        <v>0.05</v>
      </c>
      <c r="N496" s="28">
        <v>29625</v>
      </c>
      <c r="O496" s="28">
        <v>0.05</v>
      </c>
      <c r="P496" s="28">
        <v>0.65</v>
      </c>
      <c r="Q496" s="28">
        <v>10.62</v>
      </c>
      <c r="R496" s="26"/>
      <c r="S496" s="26"/>
      <c r="T496" s="26"/>
      <c r="U496" s="26"/>
    </row>
    <row r="497" spans="1:21" x14ac:dyDescent="0.3">
      <c r="A497" s="26"/>
      <c r="B497" s="29">
        <v>45183</v>
      </c>
      <c r="C497" s="28" t="s">
        <v>12</v>
      </c>
      <c r="D497" s="28" t="s">
        <v>74</v>
      </c>
      <c r="E497" s="28" t="s">
        <v>49</v>
      </c>
      <c r="F497" s="28" t="s">
        <v>40</v>
      </c>
      <c r="G497" s="28" t="s">
        <v>32</v>
      </c>
      <c r="H497" s="28" t="s">
        <v>87</v>
      </c>
      <c r="I497" s="28">
        <v>4150</v>
      </c>
      <c r="J497" s="28">
        <v>128000</v>
      </c>
      <c r="K497" s="28">
        <v>5120</v>
      </c>
      <c r="L497" s="28">
        <v>256</v>
      </c>
      <c r="M497" s="28">
        <v>0.05</v>
      </c>
      <c r="N497" s="28">
        <v>38400</v>
      </c>
      <c r="O497" s="28">
        <v>0.04</v>
      </c>
      <c r="P497" s="28">
        <v>0.81</v>
      </c>
      <c r="Q497" s="28">
        <v>8.25</v>
      </c>
      <c r="R497" s="26"/>
      <c r="S497" s="26"/>
      <c r="T497" s="26"/>
      <c r="U497" s="26"/>
    </row>
    <row r="498" spans="1:21" x14ac:dyDescent="0.3">
      <c r="A498" s="26"/>
      <c r="B498" s="29">
        <v>45190</v>
      </c>
      <c r="C498" s="28" t="s">
        <v>13</v>
      </c>
      <c r="D498" s="28" t="s">
        <v>79</v>
      </c>
      <c r="E498" s="28" t="s">
        <v>47</v>
      </c>
      <c r="F498" s="28" t="s">
        <v>45</v>
      </c>
      <c r="G498" s="28" t="s">
        <v>31</v>
      </c>
      <c r="H498" s="28" t="s">
        <v>87</v>
      </c>
      <c r="I498" s="28">
        <v>2850</v>
      </c>
      <c r="J498" s="28">
        <v>87000</v>
      </c>
      <c r="K498" s="28">
        <v>4350</v>
      </c>
      <c r="L498" s="28">
        <v>218</v>
      </c>
      <c r="M498" s="28">
        <v>0.05</v>
      </c>
      <c r="N498" s="28">
        <v>32625</v>
      </c>
      <c r="O498" s="28">
        <v>0.05</v>
      </c>
      <c r="P498" s="28">
        <v>0.66</v>
      </c>
      <c r="Q498" s="28">
        <v>10.45</v>
      </c>
      <c r="R498" s="26"/>
      <c r="S498" s="26"/>
      <c r="T498" s="26"/>
      <c r="U498" s="26"/>
    </row>
    <row r="499" spans="1:21" x14ac:dyDescent="0.3">
      <c r="A499" s="26"/>
      <c r="B499" s="29">
        <v>45197</v>
      </c>
      <c r="C499" s="28" t="s">
        <v>11</v>
      </c>
      <c r="D499" s="28" t="s">
        <v>75</v>
      </c>
      <c r="E499" s="28" t="s">
        <v>47</v>
      </c>
      <c r="F499" s="28" t="s">
        <v>41</v>
      </c>
      <c r="G499" s="28" t="s">
        <v>30</v>
      </c>
      <c r="H499" s="28" t="s">
        <v>88</v>
      </c>
      <c r="I499" s="28">
        <v>6000</v>
      </c>
      <c r="J499" s="28">
        <v>63000</v>
      </c>
      <c r="K499" s="28">
        <v>1890</v>
      </c>
      <c r="L499" s="28">
        <v>94</v>
      </c>
      <c r="M499" s="28">
        <v>0.05</v>
      </c>
      <c r="N499" s="28">
        <v>23625</v>
      </c>
      <c r="O499" s="28">
        <v>0.03</v>
      </c>
      <c r="P499" s="28">
        <v>3.17</v>
      </c>
      <c r="Q499" s="28">
        <v>2.94</v>
      </c>
      <c r="R499" s="26"/>
      <c r="S499" s="26"/>
      <c r="T499" s="26"/>
      <c r="U499" s="26"/>
    </row>
    <row r="500" spans="1:21" x14ac:dyDescent="0.3">
      <c r="A500" s="26"/>
      <c r="B500" s="29">
        <v>45204</v>
      </c>
      <c r="C500" s="28" t="s">
        <v>12</v>
      </c>
      <c r="D500" s="28" t="s">
        <v>73</v>
      </c>
      <c r="E500" s="28" t="s">
        <v>47</v>
      </c>
      <c r="F500" s="28" t="s">
        <v>37</v>
      </c>
      <c r="G500" s="28" t="s">
        <v>33</v>
      </c>
      <c r="H500" s="28" t="s">
        <v>88</v>
      </c>
      <c r="I500" s="28">
        <v>3650</v>
      </c>
      <c r="J500" s="28">
        <v>111000</v>
      </c>
      <c r="K500" s="28">
        <v>4440</v>
      </c>
      <c r="L500" s="28">
        <v>222</v>
      </c>
      <c r="M500" s="28">
        <v>0.05</v>
      </c>
      <c r="N500" s="28">
        <v>33300</v>
      </c>
      <c r="O500" s="28">
        <v>0.04</v>
      </c>
      <c r="P500" s="28">
        <v>0.82</v>
      </c>
      <c r="Q500" s="28">
        <v>8.1199999999999992</v>
      </c>
      <c r="R500" s="26"/>
      <c r="S500" s="26"/>
      <c r="T500" s="26"/>
      <c r="U500" s="26"/>
    </row>
    <row r="501" spans="1:21" x14ac:dyDescent="0.3">
      <c r="A501" s="26"/>
      <c r="B501" s="29">
        <v>45211</v>
      </c>
      <c r="C501" s="28" t="s">
        <v>11</v>
      </c>
      <c r="D501" s="28" t="s">
        <v>70</v>
      </c>
      <c r="E501" s="28" t="s">
        <v>49</v>
      </c>
      <c r="F501" s="28" t="s">
        <v>45</v>
      </c>
      <c r="G501" s="28" t="s">
        <v>31</v>
      </c>
      <c r="H501" s="28" t="s">
        <v>88</v>
      </c>
      <c r="I501" s="28">
        <v>2950</v>
      </c>
      <c r="J501" s="28">
        <v>89000</v>
      </c>
      <c r="K501" s="28">
        <v>4450</v>
      </c>
      <c r="L501" s="28">
        <v>222</v>
      </c>
      <c r="M501" s="28">
        <v>0.05</v>
      </c>
      <c r="N501" s="28">
        <v>33375</v>
      </c>
      <c r="O501" s="28">
        <v>0.05</v>
      </c>
      <c r="P501" s="28">
        <v>0.66</v>
      </c>
      <c r="Q501" s="28">
        <v>10.31</v>
      </c>
      <c r="R501" s="26"/>
      <c r="S501" s="26"/>
      <c r="T501" s="26"/>
      <c r="U501" s="26"/>
    </row>
    <row r="502" spans="1:21" x14ac:dyDescent="0.3">
      <c r="A502" s="26"/>
      <c r="B502" s="29">
        <v>45218</v>
      </c>
      <c r="C502" s="28" t="s">
        <v>10</v>
      </c>
      <c r="D502" s="28" t="s">
        <v>78</v>
      </c>
      <c r="E502" s="28" t="s">
        <v>48</v>
      </c>
      <c r="F502" s="28" t="s">
        <v>45</v>
      </c>
      <c r="G502" s="28" t="s">
        <v>32</v>
      </c>
      <c r="H502" s="28" t="s">
        <v>88</v>
      </c>
      <c r="I502" s="28">
        <v>3950</v>
      </c>
      <c r="J502" s="28">
        <v>123000</v>
      </c>
      <c r="K502" s="28">
        <v>4920</v>
      </c>
      <c r="L502" s="28">
        <v>246</v>
      </c>
      <c r="M502" s="28">
        <v>0.05</v>
      </c>
      <c r="N502" s="28">
        <v>36900</v>
      </c>
      <c r="O502" s="28">
        <v>0.04</v>
      </c>
      <c r="P502" s="28">
        <v>0.8</v>
      </c>
      <c r="Q502" s="28">
        <v>8.34</v>
      </c>
      <c r="R502" s="26"/>
      <c r="S502" s="26"/>
      <c r="T502" s="26"/>
      <c r="U502" s="26"/>
    </row>
    <row r="503" spans="1:21" x14ac:dyDescent="0.3">
      <c r="A503" s="26"/>
      <c r="B503" s="29">
        <v>45225</v>
      </c>
      <c r="C503" s="28" t="s">
        <v>13</v>
      </c>
      <c r="D503" s="28" t="s">
        <v>79</v>
      </c>
      <c r="E503" s="28" t="s">
        <v>47</v>
      </c>
      <c r="F503" s="28" t="s">
        <v>40</v>
      </c>
      <c r="G503" s="28" t="s">
        <v>31</v>
      </c>
      <c r="H503" s="28" t="s">
        <v>88</v>
      </c>
      <c r="I503" s="28">
        <v>2650</v>
      </c>
      <c r="J503" s="28">
        <v>82000</v>
      </c>
      <c r="K503" s="28">
        <v>4100</v>
      </c>
      <c r="L503" s="28">
        <v>205</v>
      </c>
      <c r="M503" s="28">
        <v>0.05</v>
      </c>
      <c r="N503" s="28">
        <v>30750</v>
      </c>
      <c r="O503" s="28">
        <v>0.05</v>
      </c>
      <c r="P503" s="28">
        <v>0.65</v>
      </c>
      <c r="Q503" s="28">
        <v>10.6</v>
      </c>
      <c r="R503" s="26"/>
      <c r="S503" s="26"/>
      <c r="T503" s="26"/>
      <c r="U503" s="26"/>
    </row>
    <row r="504" spans="1:21" x14ac:dyDescent="0.3">
      <c r="A504" s="26"/>
      <c r="B504" s="29">
        <v>45232</v>
      </c>
      <c r="C504" s="28" t="s">
        <v>10</v>
      </c>
      <c r="D504" s="28" t="s">
        <v>69</v>
      </c>
      <c r="E504" s="28" t="s">
        <v>47</v>
      </c>
      <c r="F504" s="28" t="s">
        <v>42</v>
      </c>
      <c r="G504" s="28" t="s">
        <v>30</v>
      </c>
      <c r="H504" s="28" t="s">
        <v>88</v>
      </c>
      <c r="I504" s="28">
        <v>6200</v>
      </c>
      <c r="J504" s="28">
        <v>65000</v>
      </c>
      <c r="K504" s="28">
        <v>1950</v>
      </c>
      <c r="L504" s="28">
        <v>98</v>
      </c>
      <c r="M504" s="28">
        <v>0.05</v>
      </c>
      <c r="N504" s="28">
        <v>24375</v>
      </c>
      <c r="O504" s="28">
        <v>0.03</v>
      </c>
      <c r="P504" s="28">
        <v>3.18</v>
      </c>
      <c r="Q504" s="28">
        <v>2.93</v>
      </c>
      <c r="R504" s="26"/>
      <c r="S504" s="26"/>
      <c r="T504" s="26"/>
      <c r="U504" s="26"/>
    </row>
    <row r="505" spans="1:21" x14ac:dyDescent="0.3">
      <c r="A505" s="26"/>
      <c r="B505" s="29">
        <v>45239</v>
      </c>
      <c r="C505" s="28" t="s">
        <v>11</v>
      </c>
      <c r="D505" s="28" t="s">
        <v>79</v>
      </c>
      <c r="E505" s="28" t="s">
        <v>47</v>
      </c>
      <c r="F505" s="28" t="s">
        <v>42</v>
      </c>
      <c r="G505" s="28" t="s">
        <v>33</v>
      </c>
      <c r="H505" s="28" t="s">
        <v>88</v>
      </c>
      <c r="I505" s="28">
        <v>3750</v>
      </c>
      <c r="J505" s="28">
        <v>114000</v>
      </c>
      <c r="K505" s="28">
        <v>4560</v>
      </c>
      <c r="L505" s="28">
        <v>228</v>
      </c>
      <c r="M505" s="28">
        <v>0.05</v>
      </c>
      <c r="N505" s="28">
        <v>34200</v>
      </c>
      <c r="O505" s="28">
        <v>0.04</v>
      </c>
      <c r="P505" s="28">
        <v>0.82</v>
      </c>
      <c r="Q505" s="28">
        <v>8.1199999999999992</v>
      </c>
      <c r="R505" s="26"/>
      <c r="S505" s="26"/>
      <c r="T505" s="26"/>
      <c r="U505" s="26"/>
    </row>
    <row r="506" spans="1:21" x14ac:dyDescent="0.3">
      <c r="A506" s="26"/>
      <c r="B506" s="29">
        <v>45246</v>
      </c>
      <c r="C506" s="28" t="s">
        <v>11</v>
      </c>
      <c r="D506" s="28" t="s">
        <v>67</v>
      </c>
      <c r="E506" s="28" t="s">
        <v>48</v>
      </c>
      <c r="F506" s="28" t="s">
        <v>44</v>
      </c>
      <c r="G506" s="28" t="s">
        <v>31</v>
      </c>
      <c r="H506" s="28" t="s">
        <v>88</v>
      </c>
      <c r="I506" s="28">
        <v>3050</v>
      </c>
      <c r="J506" s="28">
        <v>93000</v>
      </c>
      <c r="K506" s="28">
        <v>4650</v>
      </c>
      <c r="L506" s="28">
        <v>232</v>
      </c>
      <c r="M506" s="28">
        <v>0.05</v>
      </c>
      <c r="N506" s="28">
        <v>34875</v>
      </c>
      <c r="O506" s="28">
        <v>0.05</v>
      </c>
      <c r="P506" s="28">
        <v>0.66</v>
      </c>
      <c r="Q506" s="28">
        <v>10.43</v>
      </c>
      <c r="R506" s="26"/>
      <c r="S506" s="26"/>
      <c r="T506" s="26"/>
      <c r="U506" s="26"/>
    </row>
    <row r="507" spans="1:21" x14ac:dyDescent="0.3">
      <c r="A507" s="26"/>
      <c r="B507" s="29">
        <v>45253</v>
      </c>
      <c r="C507" s="28" t="s">
        <v>13</v>
      </c>
      <c r="D507" s="28" t="s">
        <v>70</v>
      </c>
      <c r="E507" s="28" t="s">
        <v>49</v>
      </c>
      <c r="F507" s="28" t="s">
        <v>43</v>
      </c>
      <c r="G507" s="28" t="s">
        <v>32</v>
      </c>
      <c r="H507" s="28" t="s">
        <v>88</v>
      </c>
      <c r="I507" s="28">
        <v>4250</v>
      </c>
      <c r="J507" s="28">
        <v>131000</v>
      </c>
      <c r="K507" s="28">
        <v>5240</v>
      </c>
      <c r="L507" s="28">
        <v>262</v>
      </c>
      <c r="M507" s="28">
        <v>0.05</v>
      </c>
      <c r="N507" s="28">
        <v>39300</v>
      </c>
      <c r="O507" s="28">
        <v>0.04</v>
      </c>
      <c r="P507" s="28">
        <v>0.81</v>
      </c>
      <c r="Q507" s="28">
        <v>8.25</v>
      </c>
      <c r="R507" s="26"/>
      <c r="S507" s="26"/>
      <c r="T507" s="26"/>
      <c r="U507" s="26"/>
    </row>
    <row r="508" spans="1:21" x14ac:dyDescent="0.3">
      <c r="A508" s="26"/>
      <c r="B508" s="29">
        <v>45260</v>
      </c>
      <c r="C508" s="28" t="s">
        <v>10</v>
      </c>
      <c r="D508" s="28" t="s">
        <v>67</v>
      </c>
      <c r="E508" s="28" t="s">
        <v>48</v>
      </c>
      <c r="F508" s="28" t="s">
        <v>44</v>
      </c>
      <c r="G508" s="28" t="s">
        <v>31</v>
      </c>
      <c r="H508" s="28" t="s">
        <v>88</v>
      </c>
      <c r="I508" s="28">
        <v>2850</v>
      </c>
      <c r="J508" s="28">
        <v>86000</v>
      </c>
      <c r="K508" s="28">
        <v>4300</v>
      </c>
      <c r="L508" s="28">
        <v>215</v>
      </c>
      <c r="M508" s="28">
        <v>0.05</v>
      </c>
      <c r="N508" s="28">
        <v>32250</v>
      </c>
      <c r="O508" s="28">
        <v>0.05</v>
      </c>
      <c r="P508" s="28">
        <v>0.66</v>
      </c>
      <c r="Q508" s="28">
        <v>10.32</v>
      </c>
      <c r="R508" s="26"/>
      <c r="S508" s="26"/>
      <c r="T508" s="26"/>
      <c r="U508" s="26"/>
    </row>
    <row r="509" spans="1:21" x14ac:dyDescent="0.3">
      <c r="A509" s="26"/>
      <c r="B509" s="29">
        <v>45267</v>
      </c>
      <c r="C509" s="28" t="s">
        <v>12</v>
      </c>
      <c r="D509" s="28" t="s">
        <v>76</v>
      </c>
      <c r="E509" s="28" t="s">
        <v>49</v>
      </c>
      <c r="F509" s="28" t="s">
        <v>42</v>
      </c>
      <c r="G509" s="28" t="s">
        <v>30</v>
      </c>
      <c r="H509" s="28" t="s">
        <v>88</v>
      </c>
      <c r="I509" s="28">
        <v>6100</v>
      </c>
      <c r="J509" s="28">
        <v>64000</v>
      </c>
      <c r="K509" s="28">
        <v>1920</v>
      </c>
      <c r="L509" s="28">
        <v>96</v>
      </c>
      <c r="M509" s="28">
        <v>0.05</v>
      </c>
      <c r="N509" s="28">
        <v>24000</v>
      </c>
      <c r="O509" s="28">
        <v>0.03</v>
      </c>
      <c r="P509" s="28">
        <v>3.18</v>
      </c>
      <c r="Q509" s="28">
        <v>2.93</v>
      </c>
      <c r="R509" s="26"/>
      <c r="S509" s="26"/>
      <c r="T509" s="26"/>
      <c r="U509" s="26"/>
    </row>
    <row r="510" spans="1:21" x14ac:dyDescent="0.3">
      <c r="A510" s="26"/>
      <c r="B510" s="29">
        <v>45274</v>
      </c>
      <c r="C510" s="28" t="s">
        <v>10</v>
      </c>
      <c r="D510" s="28" t="s">
        <v>76</v>
      </c>
      <c r="E510" s="28" t="s">
        <v>49</v>
      </c>
      <c r="F510" s="28" t="s">
        <v>41</v>
      </c>
      <c r="G510" s="28" t="s">
        <v>33</v>
      </c>
      <c r="H510" s="28" t="s">
        <v>88</v>
      </c>
      <c r="I510" s="28">
        <v>3850</v>
      </c>
      <c r="J510" s="28">
        <v>118000</v>
      </c>
      <c r="K510" s="28">
        <v>4720</v>
      </c>
      <c r="L510" s="28">
        <v>236</v>
      </c>
      <c r="M510" s="28">
        <v>0.05</v>
      </c>
      <c r="N510" s="28">
        <v>35400</v>
      </c>
      <c r="O510" s="28">
        <v>0.04</v>
      </c>
      <c r="P510" s="28">
        <v>0.82</v>
      </c>
      <c r="Q510" s="28">
        <v>8.19</v>
      </c>
      <c r="R510" s="26"/>
      <c r="S510" s="26"/>
      <c r="T510" s="26"/>
      <c r="U510" s="26"/>
    </row>
    <row r="511" spans="1:21" x14ac:dyDescent="0.3">
      <c r="A511" s="26"/>
      <c r="B511" s="29">
        <v>45281</v>
      </c>
      <c r="C511" s="28" t="s">
        <v>11</v>
      </c>
      <c r="D511" s="28" t="s">
        <v>80</v>
      </c>
      <c r="E511" s="28" t="s">
        <v>48</v>
      </c>
      <c r="F511" s="28" t="s">
        <v>45</v>
      </c>
      <c r="G511" s="28" t="s">
        <v>31</v>
      </c>
      <c r="H511" s="28" t="s">
        <v>88</v>
      </c>
      <c r="I511" s="28">
        <v>2750</v>
      </c>
      <c r="J511" s="28">
        <v>84000</v>
      </c>
      <c r="K511" s="28">
        <v>4200</v>
      </c>
      <c r="L511" s="28">
        <v>210</v>
      </c>
      <c r="M511" s="28">
        <v>0.05</v>
      </c>
      <c r="N511" s="28">
        <v>31500</v>
      </c>
      <c r="O511" s="28">
        <v>0.05</v>
      </c>
      <c r="P511" s="28">
        <v>0.65</v>
      </c>
      <c r="Q511" s="28">
        <v>10.45</v>
      </c>
      <c r="R511" s="26"/>
      <c r="S511" s="26"/>
      <c r="T511" s="26"/>
      <c r="U511" s="26"/>
    </row>
    <row r="512" spans="1:21" x14ac:dyDescent="0.3">
      <c r="A512" s="26"/>
      <c r="B512" s="29">
        <v>45288</v>
      </c>
      <c r="C512" s="28" t="s">
        <v>13</v>
      </c>
      <c r="D512" s="28" t="s">
        <v>69</v>
      </c>
      <c r="E512" s="28" t="s">
        <v>47</v>
      </c>
      <c r="F512" s="28" t="s">
        <v>36</v>
      </c>
      <c r="G512" s="28" t="s">
        <v>32</v>
      </c>
      <c r="H512" s="28" t="s">
        <v>88</v>
      </c>
      <c r="I512" s="28">
        <v>4350</v>
      </c>
      <c r="J512" s="28">
        <v>134000</v>
      </c>
      <c r="K512" s="28">
        <v>5360</v>
      </c>
      <c r="L512" s="28">
        <v>268</v>
      </c>
      <c r="M512" s="28">
        <v>0.05</v>
      </c>
      <c r="N512" s="28">
        <v>40200</v>
      </c>
      <c r="O512" s="28">
        <v>0.04</v>
      </c>
      <c r="P512" s="28">
        <v>0.81</v>
      </c>
      <c r="Q512" s="28">
        <v>8.24</v>
      </c>
      <c r="R512" s="26"/>
      <c r="S512" s="26"/>
      <c r="T512" s="26"/>
      <c r="U512" s="26"/>
    </row>
    <row r="513" spans="1:21" x14ac:dyDescent="0.3">
      <c r="A513" s="26"/>
      <c r="B513" s="29">
        <v>45295</v>
      </c>
      <c r="C513" s="28" t="s">
        <v>12</v>
      </c>
      <c r="D513" s="28" t="s">
        <v>84</v>
      </c>
      <c r="E513" s="28" t="s">
        <v>48</v>
      </c>
      <c r="F513" s="28" t="s">
        <v>45</v>
      </c>
      <c r="G513" s="28" t="s">
        <v>31</v>
      </c>
      <c r="H513" s="28" t="s">
        <v>85</v>
      </c>
      <c r="I513" s="28">
        <v>1750</v>
      </c>
      <c r="J513" s="28">
        <v>64000</v>
      </c>
      <c r="K513" s="28">
        <v>3200</v>
      </c>
      <c r="L513" s="28">
        <v>160</v>
      </c>
      <c r="M513" s="28">
        <v>0.05</v>
      </c>
      <c r="N513" s="28">
        <v>24000</v>
      </c>
      <c r="O513" s="28">
        <v>0.05</v>
      </c>
      <c r="P513" s="28">
        <v>0.55000000000000004</v>
      </c>
      <c r="Q513" s="28">
        <v>12.71</v>
      </c>
      <c r="R513" s="26"/>
      <c r="S513" s="26"/>
      <c r="T513" s="26"/>
      <c r="U513" s="26"/>
    </row>
    <row r="514" spans="1:21" x14ac:dyDescent="0.3">
      <c r="A514" s="26"/>
      <c r="B514" s="29">
        <v>45302</v>
      </c>
      <c r="C514" s="28" t="s">
        <v>11</v>
      </c>
      <c r="D514" s="28" t="s">
        <v>76</v>
      </c>
      <c r="E514" s="28" t="s">
        <v>49</v>
      </c>
      <c r="F514" s="28" t="s">
        <v>36</v>
      </c>
      <c r="G514" s="28" t="s">
        <v>32</v>
      </c>
      <c r="H514" s="28" t="s">
        <v>85</v>
      </c>
      <c r="I514" s="28">
        <v>3150</v>
      </c>
      <c r="J514" s="28">
        <v>98000</v>
      </c>
      <c r="K514" s="28">
        <v>3920</v>
      </c>
      <c r="L514" s="28">
        <v>196</v>
      </c>
      <c r="M514" s="28">
        <v>0.05</v>
      </c>
      <c r="N514" s="28">
        <v>29400</v>
      </c>
      <c r="O514" s="28">
        <v>0.04</v>
      </c>
      <c r="P514" s="28">
        <v>0.8</v>
      </c>
      <c r="Q514" s="28">
        <v>8.33</v>
      </c>
      <c r="R514" s="26"/>
      <c r="S514" s="26"/>
      <c r="T514" s="26"/>
      <c r="U514" s="26"/>
    </row>
    <row r="515" spans="1:21" x14ac:dyDescent="0.3">
      <c r="A515" s="26"/>
      <c r="B515" s="29">
        <v>45309</v>
      </c>
      <c r="C515" s="28" t="s">
        <v>12</v>
      </c>
      <c r="D515" s="28" t="s">
        <v>65</v>
      </c>
      <c r="E515" s="28" t="s">
        <v>47</v>
      </c>
      <c r="F515" s="28" t="s">
        <v>40</v>
      </c>
      <c r="G515" s="28" t="s">
        <v>33</v>
      </c>
      <c r="H515" s="28" t="s">
        <v>85</v>
      </c>
      <c r="I515" s="28">
        <v>2550</v>
      </c>
      <c r="J515" s="28">
        <v>80000</v>
      </c>
      <c r="K515" s="28">
        <v>4000</v>
      </c>
      <c r="L515" s="28">
        <v>200</v>
      </c>
      <c r="M515" s="28">
        <v>0.05</v>
      </c>
      <c r="N515" s="28">
        <v>30000</v>
      </c>
      <c r="O515" s="28">
        <v>0.05</v>
      </c>
      <c r="P515" s="28">
        <v>0.64</v>
      </c>
      <c r="Q515" s="28">
        <v>10.76</v>
      </c>
      <c r="R515" s="26"/>
      <c r="S515" s="26"/>
      <c r="T515" s="26"/>
      <c r="U515" s="26"/>
    </row>
    <row r="516" spans="1:21" x14ac:dyDescent="0.3">
      <c r="A516" s="26"/>
      <c r="B516" s="29">
        <v>45316</v>
      </c>
      <c r="C516" s="28" t="s">
        <v>10</v>
      </c>
      <c r="D516" s="28" t="s">
        <v>84</v>
      </c>
      <c r="E516" s="28" t="s">
        <v>48</v>
      </c>
      <c r="F516" s="28" t="s">
        <v>42</v>
      </c>
      <c r="G516" s="28" t="s">
        <v>30</v>
      </c>
      <c r="H516" s="28" t="s">
        <v>85</v>
      </c>
      <c r="I516" s="28">
        <v>5200</v>
      </c>
      <c r="J516" s="28">
        <v>56000</v>
      </c>
      <c r="K516" s="28">
        <v>1680</v>
      </c>
      <c r="L516" s="28">
        <v>84</v>
      </c>
      <c r="M516" s="28">
        <v>0.05</v>
      </c>
      <c r="N516" s="28">
        <v>21000</v>
      </c>
      <c r="O516" s="28">
        <v>0.03</v>
      </c>
      <c r="P516" s="28">
        <v>3.1</v>
      </c>
      <c r="Q516" s="28">
        <v>3.04</v>
      </c>
      <c r="R516" s="26"/>
      <c r="S516" s="26"/>
      <c r="T516" s="26"/>
      <c r="U516" s="26"/>
    </row>
    <row r="517" spans="1:21" x14ac:dyDescent="0.3">
      <c r="A517" s="26"/>
      <c r="B517" s="29">
        <v>45323</v>
      </c>
      <c r="C517" s="28" t="s">
        <v>11</v>
      </c>
      <c r="D517" s="28" t="s">
        <v>73</v>
      </c>
      <c r="E517" s="28" t="s">
        <v>47</v>
      </c>
      <c r="F517" s="28" t="s">
        <v>36</v>
      </c>
      <c r="G517" s="28" t="s">
        <v>33</v>
      </c>
      <c r="H517" s="28" t="s">
        <v>85</v>
      </c>
      <c r="I517" s="28">
        <v>3250</v>
      </c>
      <c r="J517" s="28">
        <v>100000</v>
      </c>
      <c r="K517" s="28">
        <v>4000</v>
      </c>
      <c r="L517" s="28">
        <v>200</v>
      </c>
      <c r="M517" s="28">
        <v>0.05</v>
      </c>
      <c r="N517" s="28">
        <v>30000</v>
      </c>
      <c r="O517" s="28">
        <v>0.04</v>
      </c>
      <c r="P517" s="28">
        <v>0.81</v>
      </c>
      <c r="Q517" s="28">
        <v>8.23</v>
      </c>
      <c r="R517" s="26"/>
      <c r="S517" s="26"/>
      <c r="T517" s="26"/>
      <c r="U517" s="26"/>
    </row>
    <row r="518" spans="1:21" x14ac:dyDescent="0.3">
      <c r="A518" s="26"/>
      <c r="B518" s="29">
        <v>45330</v>
      </c>
      <c r="C518" s="28" t="s">
        <v>10</v>
      </c>
      <c r="D518" s="28" t="s">
        <v>67</v>
      </c>
      <c r="E518" s="28" t="s">
        <v>48</v>
      </c>
      <c r="F518" s="28" t="s">
        <v>42</v>
      </c>
      <c r="G518" s="28" t="s">
        <v>31</v>
      </c>
      <c r="H518" s="28" t="s">
        <v>85</v>
      </c>
      <c r="I518" s="28">
        <v>2050</v>
      </c>
      <c r="J518" s="28">
        <v>71000</v>
      </c>
      <c r="K518" s="28">
        <v>3550</v>
      </c>
      <c r="L518" s="28">
        <v>178</v>
      </c>
      <c r="M518" s="28">
        <v>0.05</v>
      </c>
      <c r="N518" s="28">
        <v>26625</v>
      </c>
      <c r="O518" s="28">
        <v>0.05</v>
      </c>
      <c r="P518" s="28">
        <v>0.57999999999999996</v>
      </c>
      <c r="Q518" s="28">
        <v>11.99</v>
      </c>
      <c r="R518" s="26"/>
      <c r="S518" s="26"/>
      <c r="T518" s="26"/>
      <c r="U518" s="26"/>
    </row>
    <row r="519" spans="1:21" x14ac:dyDescent="0.3">
      <c r="A519" s="26"/>
      <c r="B519" s="29">
        <v>45337</v>
      </c>
      <c r="C519" s="28" t="s">
        <v>12</v>
      </c>
      <c r="D519" s="28" t="s">
        <v>78</v>
      </c>
      <c r="E519" s="28" t="s">
        <v>48</v>
      </c>
      <c r="F519" s="28" t="s">
        <v>41</v>
      </c>
      <c r="G519" s="28" t="s">
        <v>32</v>
      </c>
      <c r="H519" s="28" t="s">
        <v>85</v>
      </c>
      <c r="I519" s="28">
        <v>3650</v>
      </c>
      <c r="J519" s="28">
        <v>115000</v>
      </c>
      <c r="K519" s="28">
        <v>4600</v>
      </c>
      <c r="L519" s="28">
        <v>230</v>
      </c>
      <c r="M519" s="28">
        <v>0.05</v>
      </c>
      <c r="N519" s="28">
        <v>34500</v>
      </c>
      <c r="O519" s="28">
        <v>0.04</v>
      </c>
      <c r="P519" s="28">
        <v>0.79</v>
      </c>
      <c r="Q519" s="28">
        <v>8.4499999999999993</v>
      </c>
      <c r="R519" s="26"/>
      <c r="S519" s="26"/>
      <c r="T519" s="26"/>
      <c r="U519" s="26"/>
    </row>
    <row r="520" spans="1:21" x14ac:dyDescent="0.3">
      <c r="A520" s="26"/>
      <c r="B520" s="29">
        <v>45344</v>
      </c>
      <c r="C520" s="28" t="s">
        <v>13</v>
      </c>
      <c r="D520" s="28" t="s">
        <v>73</v>
      </c>
      <c r="E520" s="28" t="s">
        <v>47</v>
      </c>
      <c r="F520" s="28" t="s">
        <v>38</v>
      </c>
      <c r="G520" s="28" t="s">
        <v>31</v>
      </c>
      <c r="H520" s="28" t="s">
        <v>85</v>
      </c>
      <c r="I520" s="28">
        <v>2250</v>
      </c>
      <c r="J520" s="28">
        <v>74000</v>
      </c>
      <c r="K520" s="28">
        <v>3700</v>
      </c>
      <c r="L520" s="28">
        <v>185</v>
      </c>
      <c r="M520" s="28">
        <v>0.05</v>
      </c>
      <c r="N520" s="28">
        <v>27750</v>
      </c>
      <c r="O520" s="28">
        <v>0.05</v>
      </c>
      <c r="P520" s="28">
        <v>0.61</v>
      </c>
      <c r="Q520" s="28">
        <v>11.33</v>
      </c>
      <c r="R520" s="26"/>
      <c r="S520" s="26"/>
      <c r="T520" s="26"/>
      <c r="U520" s="26"/>
    </row>
    <row r="521" spans="1:21" x14ac:dyDescent="0.3">
      <c r="A521" s="26"/>
      <c r="B521" s="29">
        <v>45351</v>
      </c>
      <c r="C521" s="28" t="s">
        <v>11</v>
      </c>
      <c r="D521" s="28" t="s">
        <v>81</v>
      </c>
      <c r="E521" s="28" t="s">
        <v>48</v>
      </c>
      <c r="F521" s="28" t="s">
        <v>42</v>
      </c>
      <c r="G521" s="28" t="s">
        <v>30</v>
      </c>
      <c r="H521" s="28" t="s">
        <v>85</v>
      </c>
      <c r="I521" s="28">
        <v>5700</v>
      </c>
      <c r="J521" s="28">
        <v>61000</v>
      </c>
      <c r="K521" s="28">
        <v>1830</v>
      </c>
      <c r="L521" s="28">
        <v>92</v>
      </c>
      <c r="M521" s="28">
        <v>0.05</v>
      </c>
      <c r="N521" s="28">
        <v>22875</v>
      </c>
      <c r="O521" s="28">
        <v>0.03</v>
      </c>
      <c r="P521" s="28">
        <v>3.11</v>
      </c>
      <c r="Q521" s="28">
        <v>3.01</v>
      </c>
      <c r="R521" s="26"/>
      <c r="S521" s="26"/>
      <c r="T521" s="26"/>
      <c r="U521" s="26"/>
    </row>
    <row r="522" spans="1:21" x14ac:dyDescent="0.3">
      <c r="A522" s="26"/>
      <c r="B522" s="29">
        <v>45358</v>
      </c>
      <c r="C522" s="28" t="s">
        <v>13</v>
      </c>
      <c r="D522" s="28" t="s">
        <v>67</v>
      </c>
      <c r="E522" s="28" t="s">
        <v>48</v>
      </c>
      <c r="F522" s="28" t="s">
        <v>44</v>
      </c>
      <c r="G522" s="28" t="s">
        <v>33</v>
      </c>
      <c r="H522" s="28" t="s">
        <v>85</v>
      </c>
      <c r="I522" s="28">
        <v>3050</v>
      </c>
      <c r="J522" s="28">
        <v>95000</v>
      </c>
      <c r="K522" s="28">
        <v>3800</v>
      </c>
      <c r="L522" s="28">
        <v>190</v>
      </c>
      <c r="M522" s="28">
        <v>0.05</v>
      </c>
      <c r="N522" s="28">
        <v>28500</v>
      </c>
      <c r="O522" s="28">
        <v>0.04</v>
      </c>
      <c r="P522" s="28">
        <v>0.8</v>
      </c>
      <c r="Q522" s="28">
        <v>8.34</v>
      </c>
      <c r="R522" s="26"/>
      <c r="S522" s="26"/>
      <c r="T522" s="26"/>
      <c r="U522" s="26"/>
    </row>
    <row r="523" spans="1:21" x14ac:dyDescent="0.3">
      <c r="A523" s="26"/>
      <c r="B523" s="29">
        <v>45365</v>
      </c>
      <c r="C523" s="28" t="s">
        <v>13</v>
      </c>
      <c r="D523" s="28" t="s">
        <v>67</v>
      </c>
      <c r="E523" s="28" t="s">
        <v>48</v>
      </c>
      <c r="F523" s="28" t="s">
        <v>45</v>
      </c>
      <c r="G523" s="28" t="s">
        <v>31</v>
      </c>
      <c r="H523" s="28" t="s">
        <v>85</v>
      </c>
      <c r="I523" s="28">
        <v>2350</v>
      </c>
      <c r="J523" s="28">
        <v>76000</v>
      </c>
      <c r="K523" s="28">
        <v>3800</v>
      </c>
      <c r="L523" s="28">
        <v>190</v>
      </c>
      <c r="M523" s="28">
        <v>0.05</v>
      </c>
      <c r="N523" s="28">
        <v>28500</v>
      </c>
      <c r="O523" s="28">
        <v>0.05</v>
      </c>
      <c r="P523" s="28">
        <v>0.62</v>
      </c>
      <c r="Q523" s="28">
        <v>11.13</v>
      </c>
      <c r="R523" s="26"/>
      <c r="S523" s="26"/>
      <c r="T523" s="26"/>
      <c r="U523" s="26"/>
    </row>
    <row r="524" spans="1:21" x14ac:dyDescent="0.3">
      <c r="A524" s="26"/>
      <c r="B524" s="29">
        <v>45372</v>
      </c>
      <c r="C524" s="28" t="s">
        <v>12</v>
      </c>
      <c r="D524" s="28" t="s">
        <v>68</v>
      </c>
      <c r="E524" s="28" t="s">
        <v>47</v>
      </c>
      <c r="F524" s="28" t="s">
        <v>42</v>
      </c>
      <c r="G524" s="28" t="s">
        <v>32</v>
      </c>
      <c r="H524" s="28" t="s">
        <v>86</v>
      </c>
      <c r="I524" s="28">
        <v>3850</v>
      </c>
      <c r="J524" s="28">
        <v>121000</v>
      </c>
      <c r="K524" s="28">
        <v>4840</v>
      </c>
      <c r="L524" s="28">
        <v>242</v>
      </c>
      <c r="M524" s="28">
        <v>0.05</v>
      </c>
      <c r="N524" s="28">
        <v>36300</v>
      </c>
      <c r="O524" s="28">
        <v>0.04</v>
      </c>
      <c r="P524" s="28">
        <v>0.8</v>
      </c>
      <c r="Q524" s="28">
        <v>8.43</v>
      </c>
      <c r="R524" s="26"/>
      <c r="S524" s="26"/>
      <c r="T524" s="26"/>
      <c r="U524" s="26"/>
    </row>
    <row r="525" spans="1:21" x14ac:dyDescent="0.3">
      <c r="A525" s="26"/>
      <c r="B525" s="29">
        <v>45379</v>
      </c>
      <c r="C525" s="28" t="s">
        <v>12</v>
      </c>
      <c r="D525" s="28" t="s">
        <v>80</v>
      </c>
      <c r="E525" s="28" t="s">
        <v>48</v>
      </c>
      <c r="F525" s="28" t="s">
        <v>40</v>
      </c>
      <c r="G525" s="28" t="s">
        <v>31</v>
      </c>
      <c r="H525" s="28" t="s">
        <v>86</v>
      </c>
      <c r="I525" s="28">
        <v>2650</v>
      </c>
      <c r="J525" s="28">
        <v>81000</v>
      </c>
      <c r="K525" s="28">
        <v>4050</v>
      </c>
      <c r="L525" s="28">
        <v>202</v>
      </c>
      <c r="M525" s="28">
        <v>0.05</v>
      </c>
      <c r="N525" s="28">
        <v>30375</v>
      </c>
      <c r="O525" s="28">
        <v>0.05</v>
      </c>
      <c r="P525" s="28">
        <v>0.65</v>
      </c>
      <c r="Q525" s="28">
        <v>10.46</v>
      </c>
      <c r="R525" s="26"/>
      <c r="S525" s="26"/>
      <c r="T525" s="26"/>
      <c r="U525" s="26"/>
    </row>
    <row r="526" spans="1:21" x14ac:dyDescent="0.3">
      <c r="A526" s="26"/>
      <c r="B526" s="29">
        <v>45386</v>
      </c>
      <c r="C526" s="28" t="s">
        <v>13</v>
      </c>
      <c r="D526" s="28" t="s">
        <v>68</v>
      </c>
      <c r="E526" s="28" t="s">
        <v>47</v>
      </c>
      <c r="F526" s="28" t="s">
        <v>45</v>
      </c>
      <c r="G526" s="28" t="s">
        <v>30</v>
      </c>
      <c r="H526" s="28" t="s">
        <v>86</v>
      </c>
      <c r="I526" s="28">
        <v>5900</v>
      </c>
      <c r="J526" s="28">
        <v>62000</v>
      </c>
      <c r="K526" s="28">
        <v>1860</v>
      </c>
      <c r="L526" s="28">
        <v>93</v>
      </c>
      <c r="M526" s="28">
        <v>0.05</v>
      </c>
      <c r="N526" s="28">
        <v>23250</v>
      </c>
      <c r="O526" s="28">
        <v>0.03</v>
      </c>
      <c r="P526" s="28">
        <v>3.17</v>
      </c>
      <c r="Q526" s="28">
        <v>2.94</v>
      </c>
      <c r="R526" s="26"/>
      <c r="S526" s="26"/>
      <c r="T526" s="26"/>
      <c r="U526" s="26"/>
    </row>
    <row r="527" spans="1:21" x14ac:dyDescent="0.3">
      <c r="A527" s="26"/>
      <c r="B527" s="29">
        <v>45393</v>
      </c>
      <c r="C527" s="28" t="s">
        <v>12</v>
      </c>
      <c r="D527" s="28" t="s">
        <v>71</v>
      </c>
      <c r="E527" s="28" t="s">
        <v>48</v>
      </c>
      <c r="F527" s="28" t="s">
        <v>37</v>
      </c>
      <c r="G527" s="28" t="s">
        <v>33</v>
      </c>
      <c r="H527" s="28" t="s">
        <v>86</v>
      </c>
      <c r="I527" s="28">
        <v>3350</v>
      </c>
      <c r="J527" s="28">
        <v>103000</v>
      </c>
      <c r="K527" s="28">
        <v>4120</v>
      </c>
      <c r="L527" s="28">
        <v>206</v>
      </c>
      <c r="M527" s="28">
        <v>0.05</v>
      </c>
      <c r="N527" s="28">
        <v>30900</v>
      </c>
      <c r="O527" s="28">
        <v>0.04</v>
      </c>
      <c r="P527" s="28">
        <v>0.81</v>
      </c>
      <c r="Q527" s="28">
        <v>8.2200000000000006</v>
      </c>
      <c r="R527" s="26"/>
      <c r="S527" s="26"/>
      <c r="T527" s="26"/>
      <c r="U527" s="26"/>
    </row>
    <row r="528" spans="1:21" x14ac:dyDescent="0.3">
      <c r="A528" s="26"/>
      <c r="B528" s="29">
        <v>45400</v>
      </c>
      <c r="C528" s="28" t="s">
        <v>13</v>
      </c>
      <c r="D528" s="28" t="s">
        <v>78</v>
      </c>
      <c r="E528" s="28" t="s">
        <v>48</v>
      </c>
      <c r="F528" s="28" t="s">
        <v>40</v>
      </c>
      <c r="G528" s="28" t="s">
        <v>31</v>
      </c>
      <c r="H528" s="28" t="s">
        <v>86</v>
      </c>
      <c r="I528" s="28">
        <v>2450</v>
      </c>
      <c r="J528" s="28">
        <v>78000</v>
      </c>
      <c r="K528" s="28">
        <v>3900</v>
      </c>
      <c r="L528" s="28">
        <v>195</v>
      </c>
      <c r="M528" s="28">
        <v>0.05</v>
      </c>
      <c r="N528" s="28">
        <v>29250</v>
      </c>
      <c r="O528" s="28">
        <v>0.05</v>
      </c>
      <c r="P528" s="28">
        <v>0.63</v>
      </c>
      <c r="Q528" s="28">
        <v>10.94</v>
      </c>
      <c r="R528" s="26"/>
      <c r="S528" s="26"/>
      <c r="T528" s="26"/>
      <c r="U528" s="26"/>
    </row>
    <row r="529" spans="1:21" x14ac:dyDescent="0.3">
      <c r="A529" s="26"/>
      <c r="B529" s="29">
        <v>45407</v>
      </c>
      <c r="C529" s="28" t="s">
        <v>11</v>
      </c>
      <c r="D529" s="28" t="s">
        <v>73</v>
      </c>
      <c r="E529" s="28" t="s">
        <v>47</v>
      </c>
      <c r="F529" s="28" t="s">
        <v>45</v>
      </c>
      <c r="G529" s="28" t="s">
        <v>32</v>
      </c>
      <c r="H529" s="28" t="s">
        <v>86</v>
      </c>
      <c r="I529" s="28">
        <v>4050</v>
      </c>
      <c r="J529" s="28">
        <v>125000</v>
      </c>
      <c r="K529" s="28">
        <v>5000</v>
      </c>
      <c r="L529" s="28">
        <v>250</v>
      </c>
      <c r="M529" s="28">
        <v>0.05</v>
      </c>
      <c r="N529" s="28">
        <v>37500</v>
      </c>
      <c r="O529" s="28">
        <v>0.04</v>
      </c>
      <c r="P529" s="28">
        <v>0.81</v>
      </c>
      <c r="Q529" s="28">
        <v>8.26</v>
      </c>
      <c r="R529" s="26"/>
      <c r="S529" s="26"/>
      <c r="T529" s="26"/>
      <c r="U529" s="26"/>
    </row>
    <row r="530" spans="1:21" x14ac:dyDescent="0.3">
      <c r="A530" s="26"/>
      <c r="B530" s="29">
        <v>45414</v>
      </c>
      <c r="C530" s="28" t="s">
        <v>13</v>
      </c>
      <c r="D530" s="28" t="s">
        <v>74</v>
      </c>
      <c r="E530" s="28" t="s">
        <v>49</v>
      </c>
      <c r="F530" s="28" t="s">
        <v>42</v>
      </c>
      <c r="G530" s="28" t="s">
        <v>31</v>
      </c>
      <c r="H530" s="28" t="s">
        <v>86</v>
      </c>
      <c r="I530" s="28">
        <v>2850</v>
      </c>
      <c r="J530" s="28">
        <v>86000</v>
      </c>
      <c r="K530" s="28">
        <v>4300</v>
      </c>
      <c r="L530" s="28">
        <v>215</v>
      </c>
      <c r="M530" s="28">
        <v>0.05</v>
      </c>
      <c r="N530" s="28">
        <v>32250</v>
      </c>
      <c r="O530" s="28">
        <v>0.05</v>
      </c>
      <c r="P530" s="28">
        <v>0.66</v>
      </c>
      <c r="Q530" s="28">
        <v>10.32</v>
      </c>
      <c r="R530" s="26"/>
      <c r="S530" s="26"/>
      <c r="T530" s="26"/>
      <c r="U530" s="26"/>
    </row>
    <row r="531" spans="1:21" x14ac:dyDescent="0.3">
      <c r="A531" s="26"/>
      <c r="B531" s="29">
        <v>45421</v>
      </c>
      <c r="C531" s="28" t="s">
        <v>12</v>
      </c>
      <c r="D531" s="28" t="s">
        <v>67</v>
      </c>
      <c r="E531" s="28" t="s">
        <v>48</v>
      </c>
      <c r="F531" s="28" t="s">
        <v>41</v>
      </c>
      <c r="G531" s="28" t="s">
        <v>30</v>
      </c>
      <c r="H531" s="28" t="s">
        <v>86</v>
      </c>
      <c r="I531" s="28">
        <v>5500</v>
      </c>
      <c r="J531" s="28">
        <v>59000</v>
      </c>
      <c r="K531" s="28">
        <v>1770</v>
      </c>
      <c r="L531" s="28">
        <v>88</v>
      </c>
      <c r="M531" s="28">
        <v>0.05</v>
      </c>
      <c r="N531" s="28">
        <v>22125</v>
      </c>
      <c r="O531" s="28">
        <v>0.03</v>
      </c>
      <c r="P531" s="28">
        <v>3.11</v>
      </c>
      <c r="Q531" s="28">
        <v>3.02</v>
      </c>
      <c r="R531" s="26"/>
      <c r="S531" s="26"/>
      <c r="T531" s="26"/>
      <c r="U531" s="26"/>
    </row>
    <row r="532" spans="1:21" x14ac:dyDescent="0.3">
      <c r="A532" s="26"/>
      <c r="B532" s="29">
        <v>45428</v>
      </c>
      <c r="C532" s="28" t="s">
        <v>12</v>
      </c>
      <c r="D532" s="28" t="s">
        <v>74</v>
      </c>
      <c r="E532" s="28" t="s">
        <v>49</v>
      </c>
      <c r="F532" s="28" t="s">
        <v>42</v>
      </c>
      <c r="G532" s="28" t="s">
        <v>33</v>
      </c>
      <c r="H532" s="28" t="s">
        <v>86</v>
      </c>
      <c r="I532" s="28">
        <v>3450</v>
      </c>
      <c r="J532" s="28">
        <v>105000</v>
      </c>
      <c r="K532" s="28">
        <v>4200</v>
      </c>
      <c r="L532" s="28">
        <v>210</v>
      </c>
      <c r="M532" s="28">
        <v>0.05</v>
      </c>
      <c r="N532" s="28">
        <v>31500</v>
      </c>
      <c r="O532" s="28">
        <v>0.04</v>
      </c>
      <c r="P532" s="28">
        <v>0.82</v>
      </c>
      <c r="Q532" s="28">
        <v>8.1300000000000008</v>
      </c>
      <c r="R532" s="26"/>
      <c r="S532" s="26"/>
      <c r="T532" s="26"/>
      <c r="U532" s="26"/>
    </row>
    <row r="533" spans="1:21" x14ac:dyDescent="0.3">
      <c r="A533" s="26"/>
      <c r="B533" s="29">
        <v>45435</v>
      </c>
      <c r="C533" s="28" t="s">
        <v>12</v>
      </c>
      <c r="D533" s="28" t="s">
        <v>72</v>
      </c>
      <c r="E533" s="28" t="s">
        <v>47</v>
      </c>
      <c r="F533" s="28" t="s">
        <v>45</v>
      </c>
      <c r="G533" s="28" t="s">
        <v>31</v>
      </c>
      <c r="H533" s="28" t="s">
        <v>86</v>
      </c>
      <c r="I533" s="28">
        <v>2550</v>
      </c>
      <c r="J533" s="28">
        <v>79000</v>
      </c>
      <c r="K533" s="28">
        <v>3950</v>
      </c>
      <c r="L533" s="28">
        <v>198</v>
      </c>
      <c r="M533" s="28">
        <v>0.05</v>
      </c>
      <c r="N533" s="28">
        <v>29625</v>
      </c>
      <c r="O533" s="28">
        <v>0.05</v>
      </c>
      <c r="P533" s="28">
        <v>0.65</v>
      </c>
      <c r="Q533" s="28">
        <v>10.62</v>
      </c>
      <c r="R533" s="26"/>
      <c r="S533" s="26"/>
      <c r="T533" s="26"/>
      <c r="U533" s="26"/>
    </row>
    <row r="534" spans="1:21" x14ac:dyDescent="0.3">
      <c r="A534" s="26"/>
      <c r="B534" s="29">
        <v>45442</v>
      </c>
      <c r="C534" s="28" t="s">
        <v>12</v>
      </c>
      <c r="D534" s="28" t="s">
        <v>80</v>
      </c>
      <c r="E534" s="28" t="s">
        <v>48</v>
      </c>
      <c r="F534" s="28" t="s">
        <v>45</v>
      </c>
      <c r="G534" s="28" t="s">
        <v>32</v>
      </c>
      <c r="H534" s="28" t="s">
        <v>86</v>
      </c>
      <c r="I534" s="28">
        <v>3750</v>
      </c>
      <c r="J534" s="28">
        <v>118000</v>
      </c>
      <c r="K534" s="28">
        <v>4720</v>
      </c>
      <c r="L534" s="28">
        <v>236</v>
      </c>
      <c r="M534" s="28">
        <v>0.05</v>
      </c>
      <c r="N534" s="28">
        <v>35400</v>
      </c>
      <c r="O534" s="28">
        <v>0.04</v>
      </c>
      <c r="P534" s="28">
        <v>0.79</v>
      </c>
      <c r="Q534" s="28">
        <v>8.44</v>
      </c>
      <c r="R534" s="26"/>
      <c r="S534" s="26"/>
      <c r="T534" s="26"/>
      <c r="U534" s="26"/>
    </row>
    <row r="535" spans="1:21" x14ac:dyDescent="0.3">
      <c r="A535" s="26"/>
      <c r="B535" s="29">
        <v>45449</v>
      </c>
      <c r="C535" s="28" t="s">
        <v>12</v>
      </c>
      <c r="D535" s="28" t="s">
        <v>79</v>
      </c>
      <c r="E535" s="28" t="s">
        <v>47</v>
      </c>
      <c r="F535" s="28" t="s">
        <v>41</v>
      </c>
      <c r="G535" s="28" t="s">
        <v>31</v>
      </c>
      <c r="H535" s="28" t="s">
        <v>86</v>
      </c>
      <c r="I535" s="28">
        <v>2250</v>
      </c>
      <c r="J535" s="28">
        <v>75000</v>
      </c>
      <c r="K535" s="28">
        <v>3750</v>
      </c>
      <c r="L535" s="28">
        <v>188</v>
      </c>
      <c r="M535" s="28">
        <v>0.05</v>
      </c>
      <c r="N535" s="28">
        <v>28125</v>
      </c>
      <c r="O535" s="28">
        <v>0.05</v>
      </c>
      <c r="P535" s="28">
        <v>0.6</v>
      </c>
      <c r="Q535" s="28">
        <v>11.5</v>
      </c>
      <c r="R535" s="26"/>
      <c r="S535" s="26"/>
      <c r="T535" s="26"/>
      <c r="U535" s="26"/>
    </row>
    <row r="536" spans="1:21" x14ac:dyDescent="0.3">
      <c r="A536" s="26"/>
      <c r="B536" s="29">
        <v>45456</v>
      </c>
      <c r="C536" s="28" t="s">
        <v>11</v>
      </c>
      <c r="D536" s="28" t="s">
        <v>82</v>
      </c>
      <c r="E536" s="28" t="s">
        <v>47</v>
      </c>
      <c r="F536" s="28" t="s">
        <v>41</v>
      </c>
      <c r="G536" s="28" t="s">
        <v>30</v>
      </c>
      <c r="H536" s="28" t="s">
        <v>86</v>
      </c>
      <c r="I536" s="28">
        <v>6100</v>
      </c>
      <c r="J536" s="28">
        <v>64000</v>
      </c>
      <c r="K536" s="28">
        <v>1920</v>
      </c>
      <c r="L536" s="28">
        <v>96</v>
      </c>
      <c r="M536" s="28">
        <v>0.05</v>
      </c>
      <c r="N536" s="28">
        <v>24000</v>
      </c>
      <c r="O536" s="28">
        <v>0.03</v>
      </c>
      <c r="P536" s="28">
        <v>3.18</v>
      </c>
      <c r="Q536" s="28">
        <v>2.93</v>
      </c>
      <c r="R536" s="26"/>
      <c r="S536" s="26"/>
      <c r="T536" s="26"/>
      <c r="U536" s="26"/>
    </row>
    <row r="537" spans="1:21" x14ac:dyDescent="0.3">
      <c r="A537" s="26"/>
      <c r="B537" s="29">
        <v>45463</v>
      </c>
      <c r="C537" s="28" t="s">
        <v>11</v>
      </c>
      <c r="D537" s="28" t="s">
        <v>69</v>
      </c>
      <c r="E537" s="28" t="s">
        <v>47</v>
      </c>
      <c r="F537" s="28" t="s">
        <v>39</v>
      </c>
      <c r="G537" s="28" t="s">
        <v>33</v>
      </c>
      <c r="H537" s="28" t="s">
        <v>86</v>
      </c>
      <c r="I537" s="28">
        <v>3650</v>
      </c>
      <c r="J537" s="28">
        <v>111000</v>
      </c>
      <c r="K537" s="28">
        <v>4440</v>
      </c>
      <c r="L537" s="28">
        <v>222</v>
      </c>
      <c r="M537" s="28">
        <v>0.05</v>
      </c>
      <c r="N537" s="28">
        <v>33300</v>
      </c>
      <c r="O537" s="28">
        <v>0.04</v>
      </c>
      <c r="P537" s="28">
        <v>0.82</v>
      </c>
      <c r="Q537" s="28">
        <v>8.1199999999999992</v>
      </c>
      <c r="R537" s="26"/>
      <c r="S537" s="26"/>
      <c r="T537" s="26"/>
      <c r="U537" s="26"/>
    </row>
    <row r="538" spans="1:21" x14ac:dyDescent="0.3">
      <c r="A538" s="26"/>
      <c r="B538" s="29">
        <v>45470</v>
      </c>
      <c r="C538" s="28" t="s">
        <v>10</v>
      </c>
      <c r="D538" s="28" t="s">
        <v>80</v>
      </c>
      <c r="E538" s="28" t="s">
        <v>48</v>
      </c>
      <c r="F538" s="28" t="s">
        <v>42</v>
      </c>
      <c r="G538" s="28" t="s">
        <v>31</v>
      </c>
      <c r="H538" s="28" t="s">
        <v>86</v>
      </c>
      <c r="I538" s="28">
        <v>2750</v>
      </c>
      <c r="J538" s="28">
        <v>84000</v>
      </c>
      <c r="K538" s="28">
        <v>4200</v>
      </c>
      <c r="L538" s="28">
        <v>210</v>
      </c>
      <c r="M538" s="28">
        <v>0.05</v>
      </c>
      <c r="N538" s="28">
        <v>31500</v>
      </c>
      <c r="O538" s="28">
        <v>0.05</v>
      </c>
      <c r="P538" s="28">
        <v>0.65</v>
      </c>
      <c r="Q538" s="28">
        <v>10.45</v>
      </c>
      <c r="R538" s="26"/>
      <c r="S538" s="26"/>
      <c r="T538" s="26"/>
      <c r="U538" s="26"/>
    </row>
    <row r="539" spans="1:21" x14ac:dyDescent="0.3">
      <c r="A539" s="26"/>
      <c r="B539" s="29">
        <v>45477</v>
      </c>
      <c r="C539" s="28" t="s">
        <v>12</v>
      </c>
      <c r="D539" s="28" t="s">
        <v>77</v>
      </c>
      <c r="E539" s="28" t="s">
        <v>49</v>
      </c>
      <c r="F539" s="28" t="s">
        <v>40</v>
      </c>
      <c r="G539" s="28" t="s">
        <v>32</v>
      </c>
      <c r="H539" s="28" t="s">
        <v>87</v>
      </c>
      <c r="I539" s="28">
        <v>3950</v>
      </c>
      <c r="J539" s="28">
        <v>123000</v>
      </c>
      <c r="K539" s="28">
        <v>4920</v>
      </c>
      <c r="L539" s="28">
        <v>246</v>
      </c>
      <c r="M539" s="28">
        <v>0.05</v>
      </c>
      <c r="N539" s="28">
        <v>36900</v>
      </c>
      <c r="O539" s="28">
        <v>0.04</v>
      </c>
      <c r="P539" s="28">
        <v>0.8</v>
      </c>
      <c r="Q539" s="28">
        <v>8.34</v>
      </c>
      <c r="R539" s="26"/>
      <c r="S539" s="26"/>
      <c r="T539" s="26"/>
      <c r="U539" s="26"/>
    </row>
    <row r="540" spans="1:21" x14ac:dyDescent="0.3">
      <c r="A540" s="26"/>
      <c r="B540" s="29">
        <v>45484</v>
      </c>
      <c r="C540" s="28" t="s">
        <v>12</v>
      </c>
      <c r="D540" s="28" t="s">
        <v>84</v>
      </c>
      <c r="E540" s="28" t="s">
        <v>48</v>
      </c>
      <c r="F540" s="28" t="s">
        <v>35</v>
      </c>
      <c r="G540" s="28" t="s">
        <v>31</v>
      </c>
      <c r="H540" s="28" t="s">
        <v>87</v>
      </c>
      <c r="I540" s="28">
        <v>2550</v>
      </c>
      <c r="J540" s="28">
        <v>79000</v>
      </c>
      <c r="K540" s="28">
        <v>3950</v>
      </c>
      <c r="L540" s="28">
        <v>198</v>
      </c>
      <c r="M540" s="28">
        <v>0.05</v>
      </c>
      <c r="N540" s="28">
        <v>29625</v>
      </c>
      <c r="O540" s="28">
        <v>0.05</v>
      </c>
      <c r="P540" s="28">
        <v>0.65</v>
      </c>
      <c r="Q540" s="28">
        <v>10.62</v>
      </c>
      <c r="R540" s="26"/>
      <c r="S540" s="26"/>
      <c r="T540" s="26"/>
      <c r="U540" s="26"/>
    </row>
    <row r="541" spans="1:21" x14ac:dyDescent="0.3">
      <c r="A541" s="26"/>
      <c r="B541" s="29">
        <v>45491</v>
      </c>
      <c r="C541" s="28" t="s">
        <v>13</v>
      </c>
      <c r="D541" s="28" t="s">
        <v>68</v>
      </c>
      <c r="E541" s="28" t="s">
        <v>47</v>
      </c>
      <c r="F541" s="28" t="s">
        <v>45</v>
      </c>
      <c r="G541" s="28" t="s">
        <v>30</v>
      </c>
      <c r="H541" s="28" t="s">
        <v>87</v>
      </c>
      <c r="I541" s="28">
        <v>6000</v>
      </c>
      <c r="J541" s="28">
        <v>63000</v>
      </c>
      <c r="K541" s="28">
        <v>1890</v>
      </c>
      <c r="L541" s="28">
        <v>94</v>
      </c>
      <c r="M541" s="28">
        <v>0.05</v>
      </c>
      <c r="N541" s="28">
        <v>23625</v>
      </c>
      <c r="O541" s="28">
        <v>0.03</v>
      </c>
      <c r="P541" s="28">
        <v>3.17</v>
      </c>
      <c r="Q541" s="28">
        <v>2.94</v>
      </c>
      <c r="R541" s="26"/>
      <c r="S541" s="26"/>
      <c r="T541" s="26"/>
      <c r="U541" s="26"/>
    </row>
    <row r="542" spans="1:21" x14ac:dyDescent="0.3">
      <c r="A542" s="26"/>
      <c r="B542" s="29">
        <v>45498</v>
      </c>
      <c r="C542" s="28" t="s">
        <v>11</v>
      </c>
      <c r="D542" s="28" t="s">
        <v>80</v>
      </c>
      <c r="E542" s="28" t="s">
        <v>48</v>
      </c>
      <c r="F542" s="28" t="s">
        <v>40</v>
      </c>
      <c r="G542" s="28" t="s">
        <v>33</v>
      </c>
      <c r="H542" s="28" t="s">
        <v>87</v>
      </c>
      <c r="I542" s="28">
        <v>3550</v>
      </c>
      <c r="J542" s="28">
        <v>108000</v>
      </c>
      <c r="K542" s="28">
        <v>4320</v>
      </c>
      <c r="L542" s="28">
        <v>216</v>
      </c>
      <c r="M542" s="28">
        <v>0.05</v>
      </c>
      <c r="N542" s="28">
        <v>32400</v>
      </c>
      <c r="O542" s="28">
        <v>0.04</v>
      </c>
      <c r="P542" s="28">
        <v>0.82</v>
      </c>
      <c r="Q542" s="28">
        <v>8.1300000000000008</v>
      </c>
      <c r="R542" s="26"/>
      <c r="S542" s="26"/>
      <c r="T542" s="26"/>
      <c r="U542" s="26"/>
    </row>
    <row r="543" spans="1:21" x14ac:dyDescent="0.3">
      <c r="A543" s="26"/>
      <c r="B543" s="29">
        <v>45505</v>
      </c>
      <c r="C543" s="28" t="s">
        <v>12</v>
      </c>
      <c r="D543" s="28" t="s">
        <v>69</v>
      </c>
      <c r="E543" s="28" t="s">
        <v>47</v>
      </c>
      <c r="F543" s="28" t="s">
        <v>36</v>
      </c>
      <c r="G543" s="28" t="s">
        <v>31</v>
      </c>
      <c r="H543" s="28" t="s">
        <v>87</v>
      </c>
      <c r="I543" s="28">
        <v>2350</v>
      </c>
      <c r="J543" s="28">
        <v>76000</v>
      </c>
      <c r="K543" s="28">
        <v>3800</v>
      </c>
      <c r="L543" s="28">
        <v>190</v>
      </c>
      <c r="M543" s="28">
        <v>0.05</v>
      </c>
      <c r="N543" s="28">
        <v>28500</v>
      </c>
      <c r="O543" s="28">
        <v>0.05</v>
      </c>
      <c r="P543" s="28">
        <v>0.62</v>
      </c>
      <c r="Q543" s="28">
        <v>11.13</v>
      </c>
      <c r="R543" s="26"/>
      <c r="S543" s="26"/>
      <c r="T543" s="26"/>
      <c r="U543" s="26"/>
    </row>
    <row r="544" spans="1:21" x14ac:dyDescent="0.3">
      <c r="A544" s="26"/>
      <c r="B544" s="29">
        <v>45512</v>
      </c>
      <c r="C544" s="28" t="s">
        <v>10</v>
      </c>
      <c r="D544" s="28" t="s">
        <v>69</v>
      </c>
      <c r="E544" s="28" t="s">
        <v>47</v>
      </c>
      <c r="F544" s="28" t="s">
        <v>45</v>
      </c>
      <c r="G544" s="28" t="s">
        <v>32</v>
      </c>
      <c r="H544" s="28" t="s">
        <v>87</v>
      </c>
      <c r="I544" s="28">
        <v>4150</v>
      </c>
      <c r="J544" s="28">
        <v>128000</v>
      </c>
      <c r="K544" s="28">
        <v>5120</v>
      </c>
      <c r="L544" s="28">
        <v>256</v>
      </c>
      <c r="M544" s="28">
        <v>0.05</v>
      </c>
      <c r="N544" s="28">
        <v>38400</v>
      </c>
      <c r="O544" s="28">
        <v>0.04</v>
      </c>
      <c r="P544" s="28">
        <v>0.81</v>
      </c>
      <c r="Q544" s="28">
        <v>8.25</v>
      </c>
      <c r="R544" s="26"/>
      <c r="S544" s="26"/>
      <c r="T544" s="26"/>
      <c r="U544" s="26"/>
    </row>
    <row r="545" spans="1:21" x14ac:dyDescent="0.3">
      <c r="A545" s="26"/>
      <c r="B545" s="29">
        <v>45519</v>
      </c>
      <c r="C545" s="28" t="s">
        <v>13</v>
      </c>
      <c r="D545" s="28" t="s">
        <v>75</v>
      </c>
      <c r="E545" s="28" t="s">
        <v>47</v>
      </c>
      <c r="F545" s="28" t="s">
        <v>45</v>
      </c>
      <c r="G545" s="28" t="s">
        <v>31</v>
      </c>
      <c r="H545" s="28" t="s">
        <v>87</v>
      </c>
      <c r="I545" s="28">
        <v>2850</v>
      </c>
      <c r="J545" s="28">
        <v>86000</v>
      </c>
      <c r="K545" s="28">
        <v>4300</v>
      </c>
      <c r="L545" s="28">
        <v>215</v>
      </c>
      <c r="M545" s="28">
        <v>0.05</v>
      </c>
      <c r="N545" s="28">
        <v>32250</v>
      </c>
      <c r="O545" s="28">
        <v>0.05</v>
      </c>
      <c r="P545" s="28">
        <v>0.66</v>
      </c>
      <c r="Q545" s="28">
        <v>10.32</v>
      </c>
      <c r="R545" s="26"/>
      <c r="S545" s="26"/>
      <c r="T545" s="26"/>
      <c r="U545" s="26"/>
    </row>
    <row r="546" spans="1:21" x14ac:dyDescent="0.3">
      <c r="A546" s="26"/>
      <c r="B546" s="29">
        <v>45526</v>
      </c>
      <c r="C546" s="28" t="s">
        <v>11</v>
      </c>
      <c r="D546" s="28" t="s">
        <v>70</v>
      </c>
      <c r="E546" s="28" t="s">
        <v>49</v>
      </c>
      <c r="F546" s="28" t="s">
        <v>39</v>
      </c>
      <c r="G546" s="28" t="s">
        <v>30</v>
      </c>
      <c r="H546" s="28" t="s">
        <v>87</v>
      </c>
      <c r="I546" s="28">
        <v>5800</v>
      </c>
      <c r="J546" s="28">
        <v>62000</v>
      </c>
      <c r="K546" s="28">
        <v>1860</v>
      </c>
      <c r="L546" s="28">
        <v>93</v>
      </c>
      <c r="M546" s="28">
        <v>0.05</v>
      </c>
      <c r="N546" s="28">
        <v>23250</v>
      </c>
      <c r="O546" s="28">
        <v>0.03</v>
      </c>
      <c r="P546" s="28">
        <v>3.12</v>
      </c>
      <c r="Q546" s="28">
        <v>3.01</v>
      </c>
      <c r="R546" s="26"/>
      <c r="S546" s="26"/>
      <c r="T546" s="26"/>
      <c r="U546" s="26"/>
    </row>
    <row r="547" spans="1:21" x14ac:dyDescent="0.3">
      <c r="A547" s="26"/>
      <c r="B547" s="29">
        <v>45533</v>
      </c>
      <c r="C547" s="28" t="s">
        <v>13</v>
      </c>
      <c r="D547" s="28" t="s">
        <v>66</v>
      </c>
      <c r="E547" s="28" t="s">
        <v>48</v>
      </c>
      <c r="F547" s="28" t="s">
        <v>36</v>
      </c>
      <c r="G547" s="28" t="s">
        <v>33</v>
      </c>
      <c r="H547" s="28" t="s">
        <v>87</v>
      </c>
      <c r="I547" s="28">
        <v>3450</v>
      </c>
      <c r="J547" s="28">
        <v>105000</v>
      </c>
      <c r="K547" s="28">
        <v>4200</v>
      </c>
      <c r="L547" s="28">
        <v>210</v>
      </c>
      <c r="M547" s="28">
        <v>0.05</v>
      </c>
      <c r="N547" s="28">
        <v>31500</v>
      </c>
      <c r="O547" s="28">
        <v>0.04</v>
      </c>
      <c r="P547" s="28">
        <v>0.82</v>
      </c>
      <c r="Q547" s="28">
        <v>8.1300000000000008</v>
      </c>
      <c r="R547" s="26"/>
      <c r="S547" s="26"/>
      <c r="T547" s="26"/>
      <c r="U547" s="26"/>
    </row>
    <row r="548" spans="1:21" x14ac:dyDescent="0.3">
      <c r="A548" s="26"/>
      <c r="B548" s="29">
        <v>45540</v>
      </c>
      <c r="C548" s="28" t="s">
        <v>12</v>
      </c>
      <c r="D548" s="28" t="s">
        <v>71</v>
      </c>
      <c r="E548" s="28" t="s">
        <v>48</v>
      </c>
      <c r="F548" s="28" t="s">
        <v>45</v>
      </c>
      <c r="G548" s="28" t="s">
        <v>31</v>
      </c>
      <c r="H548" s="28" t="s">
        <v>87</v>
      </c>
      <c r="I548" s="28">
        <v>2650</v>
      </c>
      <c r="J548" s="28">
        <v>81000</v>
      </c>
      <c r="K548" s="28">
        <v>4050</v>
      </c>
      <c r="L548" s="28">
        <v>202</v>
      </c>
      <c r="M548" s="28">
        <v>0.05</v>
      </c>
      <c r="N548" s="28">
        <v>30375</v>
      </c>
      <c r="O548" s="28">
        <v>0.05</v>
      </c>
      <c r="P548" s="28">
        <v>0.65</v>
      </c>
      <c r="Q548" s="28">
        <v>10.46</v>
      </c>
      <c r="R548" s="26"/>
      <c r="S548" s="26"/>
      <c r="T548" s="26"/>
      <c r="U548" s="26"/>
    </row>
    <row r="549" spans="1:21" x14ac:dyDescent="0.3">
      <c r="A549" s="26"/>
      <c r="B549" s="29">
        <v>45547</v>
      </c>
      <c r="C549" s="28" t="s">
        <v>13</v>
      </c>
      <c r="D549" s="28" t="s">
        <v>65</v>
      </c>
      <c r="E549" s="28" t="s">
        <v>47</v>
      </c>
      <c r="F549" s="28" t="s">
        <v>45</v>
      </c>
      <c r="G549" s="28" t="s">
        <v>32</v>
      </c>
      <c r="H549" s="28" t="s">
        <v>88</v>
      </c>
      <c r="I549" s="28">
        <v>4250</v>
      </c>
      <c r="J549" s="28">
        <v>131000</v>
      </c>
      <c r="K549" s="28">
        <v>5240</v>
      </c>
      <c r="L549" s="28">
        <v>262</v>
      </c>
      <c r="M549" s="28">
        <v>0.05</v>
      </c>
      <c r="N549" s="28">
        <v>39300</v>
      </c>
      <c r="O549" s="28">
        <v>0.04</v>
      </c>
      <c r="P549" s="28">
        <v>0.81</v>
      </c>
      <c r="Q549" s="28">
        <v>8.25</v>
      </c>
      <c r="R549" s="26"/>
      <c r="S549" s="26"/>
      <c r="T549" s="26"/>
      <c r="U549" s="26"/>
    </row>
    <row r="550" spans="1:21" x14ac:dyDescent="0.3">
      <c r="A550" s="26"/>
      <c r="B550" s="29">
        <v>45554</v>
      </c>
      <c r="C550" s="28" t="s">
        <v>12</v>
      </c>
      <c r="D550" s="28" t="s">
        <v>80</v>
      </c>
      <c r="E550" s="28" t="s">
        <v>48</v>
      </c>
      <c r="F550" s="28" t="s">
        <v>40</v>
      </c>
      <c r="G550" s="28" t="s">
        <v>31</v>
      </c>
      <c r="H550" s="28" t="s">
        <v>88</v>
      </c>
      <c r="I550" s="28">
        <v>2950</v>
      </c>
      <c r="J550" s="28">
        <v>89000</v>
      </c>
      <c r="K550" s="28">
        <v>4450</v>
      </c>
      <c r="L550" s="28">
        <v>222</v>
      </c>
      <c r="M550" s="28">
        <v>0.05</v>
      </c>
      <c r="N550" s="28">
        <v>33375</v>
      </c>
      <c r="O550" s="28">
        <v>0.05</v>
      </c>
      <c r="P550" s="28">
        <v>0.66</v>
      </c>
      <c r="Q550" s="28">
        <v>10.31</v>
      </c>
      <c r="R550" s="26"/>
      <c r="S550" s="26"/>
      <c r="T550" s="26"/>
      <c r="U550" s="26"/>
    </row>
    <row r="551" spans="1:21" x14ac:dyDescent="0.3">
      <c r="A551" s="26"/>
      <c r="B551" s="29">
        <v>45561</v>
      </c>
      <c r="C551" s="28" t="s">
        <v>12</v>
      </c>
      <c r="D551" s="28" t="s">
        <v>75</v>
      </c>
      <c r="E551" s="28" t="s">
        <v>47</v>
      </c>
      <c r="F551" s="28" t="s">
        <v>45</v>
      </c>
      <c r="G551" s="28" t="s">
        <v>30</v>
      </c>
      <c r="H551" s="28" t="s">
        <v>88</v>
      </c>
      <c r="I551" s="28">
        <v>6200</v>
      </c>
      <c r="J551" s="28">
        <v>65000</v>
      </c>
      <c r="K551" s="28">
        <v>1950</v>
      </c>
      <c r="L551" s="28">
        <v>98</v>
      </c>
      <c r="M551" s="28">
        <v>0.05</v>
      </c>
      <c r="N551" s="28">
        <v>24375</v>
      </c>
      <c r="O551" s="28">
        <v>0.03</v>
      </c>
      <c r="P551" s="28">
        <v>3.18</v>
      </c>
      <c r="Q551" s="28">
        <v>2.93</v>
      </c>
      <c r="R551" s="26"/>
      <c r="S551" s="26"/>
      <c r="T551" s="26"/>
      <c r="U551" s="26"/>
    </row>
    <row r="552" spans="1:21" x14ac:dyDescent="0.3">
      <c r="A552" s="26"/>
      <c r="B552" s="29">
        <v>45568</v>
      </c>
      <c r="C552" s="28" t="s">
        <v>12</v>
      </c>
      <c r="D552" s="28" t="s">
        <v>71</v>
      </c>
      <c r="E552" s="28" t="s">
        <v>48</v>
      </c>
      <c r="F552" s="28" t="s">
        <v>37</v>
      </c>
      <c r="G552" s="28" t="s">
        <v>33</v>
      </c>
      <c r="H552" s="28" t="s">
        <v>88</v>
      </c>
      <c r="I552" s="28">
        <v>3750</v>
      </c>
      <c r="J552" s="28">
        <v>114000</v>
      </c>
      <c r="K552" s="28">
        <v>4560</v>
      </c>
      <c r="L552" s="28">
        <v>228</v>
      </c>
      <c r="M552" s="28">
        <v>0.05</v>
      </c>
      <c r="N552" s="28">
        <v>34200</v>
      </c>
      <c r="O552" s="28">
        <v>0.04</v>
      </c>
      <c r="P552" s="28">
        <v>0.82</v>
      </c>
      <c r="Q552" s="28">
        <v>8.1199999999999992</v>
      </c>
      <c r="R552" s="26"/>
      <c r="S552" s="26"/>
      <c r="T552" s="26"/>
      <c r="U552" s="26"/>
    </row>
    <row r="553" spans="1:21" x14ac:dyDescent="0.3">
      <c r="A553" s="26"/>
      <c r="B553" s="29">
        <v>45575</v>
      </c>
      <c r="C553" s="28" t="s">
        <v>12</v>
      </c>
      <c r="D553" s="28" t="s">
        <v>68</v>
      </c>
      <c r="E553" s="28" t="s">
        <v>47</v>
      </c>
      <c r="F553" s="28" t="s">
        <v>41</v>
      </c>
      <c r="G553" s="28" t="s">
        <v>31</v>
      </c>
      <c r="H553" s="28" t="s">
        <v>88</v>
      </c>
      <c r="I553" s="28">
        <v>3050</v>
      </c>
      <c r="J553" s="28">
        <v>93000</v>
      </c>
      <c r="K553" s="28">
        <v>4650</v>
      </c>
      <c r="L553" s="28">
        <v>232</v>
      </c>
      <c r="M553" s="28">
        <v>0.05</v>
      </c>
      <c r="N553" s="28">
        <v>34875</v>
      </c>
      <c r="O553" s="28">
        <v>0.05</v>
      </c>
      <c r="P553" s="28">
        <v>0.66</v>
      </c>
      <c r="Q553" s="28">
        <v>10.43</v>
      </c>
      <c r="R553" s="26"/>
      <c r="S553" s="26"/>
      <c r="T553" s="26"/>
      <c r="U553" s="26"/>
    </row>
    <row r="554" spans="1:21" x14ac:dyDescent="0.3">
      <c r="A554" s="26"/>
      <c r="B554" s="29">
        <v>45582</v>
      </c>
      <c r="C554" s="28" t="s">
        <v>12</v>
      </c>
      <c r="D554" s="28" t="s">
        <v>84</v>
      </c>
      <c r="E554" s="28" t="s">
        <v>48</v>
      </c>
      <c r="F554" s="28" t="s">
        <v>41</v>
      </c>
      <c r="G554" s="28" t="s">
        <v>32</v>
      </c>
      <c r="H554" s="28" t="s">
        <v>88</v>
      </c>
      <c r="I554" s="28">
        <v>4050</v>
      </c>
      <c r="J554" s="28">
        <v>126000</v>
      </c>
      <c r="K554" s="28">
        <v>5040</v>
      </c>
      <c r="L554" s="28">
        <v>252</v>
      </c>
      <c r="M554" s="28">
        <v>0.05</v>
      </c>
      <c r="N554" s="28">
        <v>37800</v>
      </c>
      <c r="O554" s="28">
        <v>0.04</v>
      </c>
      <c r="P554" s="28">
        <v>0.8</v>
      </c>
      <c r="Q554" s="28">
        <v>8.33</v>
      </c>
      <c r="R554" s="26"/>
      <c r="S554" s="26"/>
      <c r="T554" s="26"/>
      <c r="U554" s="26"/>
    </row>
    <row r="555" spans="1:21" x14ac:dyDescent="0.3">
      <c r="A555" s="26"/>
      <c r="B555" s="29">
        <v>45589</v>
      </c>
      <c r="C555" s="28" t="s">
        <v>12</v>
      </c>
      <c r="D555" s="28" t="s">
        <v>74</v>
      </c>
      <c r="E555" s="28" t="s">
        <v>49</v>
      </c>
      <c r="F555" s="28" t="s">
        <v>41</v>
      </c>
      <c r="G555" s="28" t="s">
        <v>31</v>
      </c>
      <c r="H555" s="28" t="s">
        <v>88</v>
      </c>
      <c r="I555" s="28">
        <v>2750</v>
      </c>
      <c r="J555" s="28">
        <v>84000</v>
      </c>
      <c r="K555" s="28">
        <v>4200</v>
      </c>
      <c r="L555" s="28">
        <v>210</v>
      </c>
      <c r="M555" s="28">
        <v>0.05</v>
      </c>
      <c r="N555" s="28">
        <v>31500</v>
      </c>
      <c r="O555" s="28">
        <v>0.05</v>
      </c>
      <c r="P555" s="28">
        <v>0.65</v>
      </c>
      <c r="Q555" s="28">
        <v>10.45</v>
      </c>
      <c r="R555" s="26"/>
      <c r="S555" s="26"/>
      <c r="T555" s="26"/>
      <c r="U555" s="26"/>
    </row>
    <row r="556" spans="1:21" x14ac:dyDescent="0.3">
      <c r="A556" s="26"/>
      <c r="B556" s="29">
        <v>45596</v>
      </c>
      <c r="C556" s="28" t="s">
        <v>12</v>
      </c>
      <c r="D556" s="28" t="s">
        <v>73</v>
      </c>
      <c r="E556" s="28" t="s">
        <v>47</v>
      </c>
      <c r="F556" s="28" t="s">
        <v>37</v>
      </c>
      <c r="G556" s="28" t="s">
        <v>30</v>
      </c>
      <c r="H556" s="28" t="s">
        <v>88</v>
      </c>
      <c r="I556" s="28">
        <v>6300</v>
      </c>
      <c r="J556" s="28">
        <v>66000</v>
      </c>
      <c r="K556" s="28">
        <v>1980</v>
      </c>
      <c r="L556" s="28">
        <v>99</v>
      </c>
      <c r="M556" s="28">
        <v>0.05</v>
      </c>
      <c r="N556" s="28">
        <v>24750</v>
      </c>
      <c r="O556" s="28">
        <v>0.03</v>
      </c>
      <c r="P556" s="28">
        <v>3.18</v>
      </c>
      <c r="Q556" s="28">
        <v>2.93</v>
      </c>
      <c r="R556" s="26"/>
      <c r="S556" s="26"/>
      <c r="T556" s="26"/>
      <c r="U556" s="26"/>
    </row>
    <row r="557" spans="1:21" x14ac:dyDescent="0.3">
      <c r="A557" s="26"/>
      <c r="B557" s="29">
        <v>45603</v>
      </c>
      <c r="C557" s="28" t="s">
        <v>10</v>
      </c>
      <c r="D557" s="28" t="s">
        <v>66</v>
      </c>
      <c r="E557" s="28" t="s">
        <v>48</v>
      </c>
      <c r="F557" s="28" t="s">
        <v>44</v>
      </c>
      <c r="G557" s="28" t="s">
        <v>33</v>
      </c>
      <c r="H557" s="28" t="s">
        <v>88</v>
      </c>
      <c r="I557" s="28">
        <v>3850</v>
      </c>
      <c r="J557" s="28">
        <v>118000</v>
      </c>
      <c r="K557" s="28">
        <v>4720</v>
      </c>
      <c r="L557" s="28">
        <v>236</v>
      </c>
      <c r="M557" s="28">
        <v>0.05</v>
      </c>
      <c r="N557" s="28">
        <v>35400</v>
      </c>
      <c r="O557" s="28">
        <v>0.04</v>
      </c>
      <c r="P557" s="28">
        <v>0.82</v>
      </c>
      <c r="Q557" s="28">
        <v>8.19</v>
      </c>
      <c r="R557" s="26"/>
      <c r="S557" s="26"/>
      <c r="T557" s="26"/>
      <c r="U557" s="26"/>
    </row>
    <row r="558" spans="1:21" x14ac:dyDescent="0.3">
      <c r="A558" s="26"/>
      <c r="B558" s="29">
        <v>45610</v>
      </c>
      <c r="C558" s="28" t="s">
        <v>10</v>
      </c>
      <c r="D558" s="28" t="s">
        <v>73</v>
      </c>
      <c r="E558" s="28" t="s">
        <v>47</v>
      </c>
      <c r="F558" s="28" t="s">
        <v>45</v>
      </c>
      <c r="G558" s="28" t="s">
        <v>31</v>
      </c>
      <c r="H558" s="28" t="s">
        <v>88</v>
      </c>
      <c r="I558" s="28">
        <v>3150</v>
      </c>
      <c r="J558" s="28">
        <v>96000</v>
      </c>
      <c r="K558" s="28">
        <v>4800</v>
      </c>
      <c r="L558" s="28">
        <v>240</v>
      </c>
      <c r="M558" s="28">
        <v>0.05</v>
      </c>
      <c r="N558" s="28">
        <v>36000</v>
      </c>
      <c r="O558" s="28">
        <v>0.05</v>
      </c>
      <c r="P558" s="28">
        <v>0.66</v>
      </c>
      <c r="Q558" s="28">
        <v>10.43</v>
      </c>
      <c r="R558" s="26"/>
      <c r="S558" s="26"/>
      <c r="T558" s="26"/>
      <c r="U558" s="26"/>
    </row>
    <row r="559" spans="1:21" x14ac:dyDescent="0.3">
      <c r="A559" s="26"/>
      <c r="B559" s="29">
        <v>45617</v>
      </c>
      <c r="C559" s="28" t="s">
        <v>11</v>
      </c>
      <c r="D559" s="28" t="s">
        <v>73</v>
      </c>
      <c r="E559" s="28" t="s">
        <v>47</v>
      </c>
      <c r="F559" s="28" t="s">
        <v>44</v>
      </c>
      <c r="G559" s="28" t="s">
        <v>32</v>
      </c>
      <c r="H559" s="28" t="s">
        <v>88</v>
      </c>
      <c r="I559" s="28">
        <v>4350</v>
      </c>
      <c r="J559" s="28">
        <v>134000</v>
      </c>
      <c r="K559" s="28">
        <v>5360</v>
      </c>
      <c r="L559" s="28">
        <v>268</v>
      </c>
      <c r="M559" s="28">
        <v>0.05</v>
      </c>
      <c r="N559" s="28">
        <v>40200</v>
      </c>
      <c r="O559" s="28">
        <v>0.04</v>
      </c>
      <c r="P559" s="28">
        <v>0.81</v>
      </c>
      <c r="Q559" s="28">
        <v>8.24</v>
      </c>
      <c r="R559" s="26"/>
      <c r="S559" s="26"/>
      <c r="T559" s="26"/>
      <c r="U559" s="26"/>
    </row>
    <row r="560" spans="1:21" x14ac:dyDescent="0.3">
      <c r="A560" s="26"/>
      <c r="B560" s="29">
        <v>45624</v>
      </c>
      <c r="C560" s="28" t="s">
        <v>12</v>
      </c>
      <c r="D560" s="28" t="s">
        <v>80</v>
      </c>
      <c r="E560" s="28" t="s">
        <v>48</v>
      </c>
      <c r="F560" s="28" t="s">
        <v>44</v>
      </c>
      <c r="G560" s="28" t="s">
        <v>31</v>
      </c>
      <c r="H560" s="28" t="s">
        <v>88</v>
      </c>
      <c r="I560" s="28">
        <v>2950</v>
      </c>
      <c r="J560" s="28">
        <v>89000</v>
      </c>
      <c r="K560" s="28">
        <v>4450</v>
      </c>
      <c r="L560" s="28">
        <v>222</v>
      </c>
      <c r="M560" s="28">
        <v>0.05</v>
      </c>
      <c r="N560" s="28">
        <v>33375</v>
      </c>
      <c r="O560" s="28">
        <v>0.05</v>
      </c>
      <c r="P560" s="28">
        <v>0.66</v>
      </c>
      <c r="Q560" s="28">
        <v>10.31</v>
      </c>
      <c r="R560" s="26"/>
      <c r="S560" s="26"/>
      <c r="T560" s="26"/>
      <c r="U560" s="26"/>
    </row>
    <row r="561" spans="1:21" x14ac:dyDescent="0.3">
      <c r="A561" s="26"/>
      <c r="B561" s="29">
        <v>45631</v>
      </c>
      <c r="C561" s="28" t="s">
        <v>11</v>
      </c>
      <c r="D561" s="28" t="s">
        <v>74</v>
      </c>
      <c r="E561" s="28" t="s">
        <v>49</v>
      </c>
      <c r="F561" s="28" t="s">
        <v>45</v>
      </c>
      <c r="G561" s="28" t="s">
        <v>30</v>
      </c>
      <c r="H561" s="28" t="s">
        <v>88</v>
      </c>
      <c r="I561" s="28">
        <v>6300</v>
      </c>
      <c r="J561" s="28">
        <v>66000</v>
      </c>
      <c r="K561" s="28">
        <v>1980</v>
      </c>
      <c r="L561" s="28">
        <v>99</v>
      </c>
      <c r="M561" s="28">
        <v>0.05</v>
      </c>
      <c r="N561" s="28">
        <v>24750</v>
      </c>
      <c r="O561" s="28">
        <v>0.03</v>
      </c>
      <c r="P561" s="28">
        <v>3.18</v>
      </c>
      <c r="Q561" s="28">
        <v>2.93</v>
      </c>
      <c r="R561" s="26"/>
      <c r="S561" s="26"/>
      <c r="T561" s="26"/>
      <c r="U561" s="26"/>
    </row>
    <row r="562" spans="1:21" x14ac:dyDescent="0.3">
      <c r="A562" s="26"/>
      <c r="B562" s="29">
        <v>45638</v>
      </c>
      <c r="C562" s="28" t="s">
        <v>10</v>
      </c>
      <c r="D562" s="28" t="s">
        <v>82</v>
      </c>
      <c r="E562" s="28" t="s">
        <v>47</v>
      </c>
      <c r="F562" s="28" t="s">
        <v>44</v>
      </c>
      <c r="G562" s="28" t="s">
        <v>33</v>
      </c>
      <c r="H562" s="28" t="s">
        <v>88</v>
      </c>
      <c r="I562" s="28">
        <v>3950</v>
      </c>
      <c r="J562" s="28">
        <v>121000</v>
      </c>
      <c r="K562" s="28">
        <v>4840</v>
      </c>
      <c r="L562" s="28">
        <v>242</v>
      </c>
      <c r="M562" s="28">
        <v>0.05</v>
      </c>
      <c r="N562" s="28">
        <v>36300</v>
      </c>
      <c r="O562" s="28">
        <v>0.04</v>
      </c>
      <c r="P562" s="28">
        <v>0.82</v>
      </c>
      <c r="Q562" s="28">
        <v>8.19</v>
      </c>
      <c r="R562" s="26"/>
      <c r="S562" s="26"/>
      <c r="T562" s="26"/>
      <c r="U562" s="26"/>
    </row>
    <row r="563" spans="1:21" x14ac:dyDescent="0.3">
      <c r="A563" s="26"/>
      <c r="B563" s="29">
        <v>45645</v>
      </c>
      <c r="C563" s="28" t="s">
        <v>12</v>
      </c>
      <c r="D563" s="28" t="s">
        <v>66</v>
      </c>
      <c r="E563" s="28" t="s">
        <v>48</v>
      </c>
      <c r="F563" s="28" t="s">
        <v>45</v>
      </c>
      <c r="G563" s="28" t="s">
        <v>31</v>
      </c>
      <c r="H563" s="28" t="s">
        <v>88</v>
      </c>
      <c r="I563" s="28">
        <v>2850</v>
      </c>
      <c r="J563" s="28">
        <v>86000</v>
      </c>
      <c r="K563" s="28">
        <v>4300</v>
      </c>
      <c r="L563" s="28">
        <v>215</v>
      </c>
      <c r="M563" s="28">
        <v>0.05</v>
      </c>
      <c r="N563" s="28">
        <v>32250</v>
      </c>
      <c r="O563" s="28">
        <v>0.05</v>
      </c>
      <c r="P563" s="28">
        <v>0.66</v>
      </c>
      <c r="Q563" s="28">
        <v>10.32</v>
      </c>
      <c r="R563" s="26"/>
      <c r="S563" s="26"/>
      <c r="T563" s="26"/>
      <c r="U563" s="26"/>
    </row>
    <row r="564" spans="1:21" x14ac:dyDescent="0.3">
      <c r="A564" s="26"/>
      <c r="B564" s="29">
        <v>45652</v>
      </c>
      <c r="C564" s="28" t="s">
        <v>11</v>
      </c>
      <c r="D564" s="28" t="s">
        <v>80</v>
      </c>
      <c r="E564" s="28" t="s">
        <v>48</v>
      </c>
      <c r="F564" s="28" t="s">
        <v>36</v>
      </c>
      <c r="G564" s="28" t="s">
        <v>32</v>
      </c>
      <c r="H564" s="28" t="s">
        <v>88</v>
      </c>
      <c r="I564" s="28">
        <v>4450</v>
      </c>
      <c r="J564" s="28">
        <v>137000</v>
      </c>
      <c r="K564" s="28">
        <v>5480</v>
      </c>
      <c r="L564" s="28">
        <v>274</v>
      </c>
      <c r="M564" s="28">
        <v>0.05</v>
      </c>
      <c r="N564" s="28">
        <v>41100</v>
      </c>
      <c r="O564" s="28">
        <v>0.04</v>
      </c>
      <c r="P564" s="28">
        <v>0.81</v>
      </c>
      <c r="Q564" s="28">
        <v>8.24</v>
      </c>
      <c r="R564" s="26"/>
      <c r="S564" s="26"/>
      <c r="T564" s="26"/>
      <c r="U564" s="26"/>
    </row>
    <row r="565" spans="1:21" x14ac:dyDescent="0.3">
      <c r="A565" s="26"/>
      <c r="B565" s="29">
        <v>44932</v>
      </c>
      <c r="C565" s="28" t="s">
        <v>11</v>
      </c>
      <c r="D565" s="28" t="s">
        <v>69</v>
      </c>
      <c r="E565" s="28" t="s">
        <v>47</v>
      </c>
      <c r="F565" s="28" t="s">
        <v>44</v>
      </c>
      <c r="G565" s="28" t="s">
        <v>33</v>
      </c>
      <c r="H565" s="28" t="s">
        <v>85</v>
      </c>
      <c r="I565" s="28">
        <v>2850</v>
      </c>
      <c r="J565" s="28">
        <v>87000</v>
      </c>
      <c r="K565" s="28">
        <v>3480</v>
      </c>
      <c r="L565" s="28">
        <v>174</v>
      </c>
      <c r="M565" s="28">
        <v>0.05</v>
      </c>
      <c r="N565" s="28">
        <v>26100</v>
      </c>
      <c r="O565" s="28">
        <v>0.04</v>
      </c>
      <c r="P565" s="28">
        <v>0.82</v>
      </c>
      <c r="Q565" s="28">
        <v>8.16</v>
      </c>
      <c r="R565" s="26"/>
      <c r="S565" s="26"/>
      <c r="T565" s="26"/>
      <c r="U565" s="26"/>
    </row>
    <row r="566" spans="1:21" x14ac:dyDescent="0.3">
      <c r="A566" s="26"/>
      <c r="B566" s="29">
        <v>44939</v>
      </c>
      <c r="C566" s="28" t="s">
        <v>13</v>
      </c>
      <c r="D566" s="28" t="s">
        <v>69</v>
      </c>
      <c r="E566" s="28" t="s">
        <v>47</v>
      </c>
      <c r="F566" s="28" t="s">
        <v>40</v>
      </c>
      <c r="G566" s="28" t="s">
        <v>31</v>
      </c>
      <c r="H566" s="28" t="s">
        <v>85</v>
      </c>
      <c r="I566" s="28">
        <v>1750</v>
      </c>
      <c r="J566" s="28">
        <v>64000</v>
      </c>
      <c r="K566" s="28">
        <v>3200</v>
      </c>
      <c r="L566" s="28">
        <v>160</v>
      </c>
      <c r="M566" s="28">
        <v>0.05</v>
      </c>
      <c r="N566" s="28">
        <v>24000</v>
      </c>
      <c r="O566" s="28">
        <v>0.05</v>
      </c>
      <c r="P566" s="28">
        <v>0.55000000000000004</v>
      </c>
      <c r="Q566" s="28">
        <v>12.71</v>
      </c>
      <c r="R566" s="26"/>
      <c r="S566" s="26"/>
      <c r="T566" s="26"/>
      <c r="U566" s="26"/>
    </row>
    <row r="567" spans="1:21" x14ac:dyDescent="0.3">
      <c r="A567" s="26"/>
      <c r="B567" s="29">
        <v>44946</v>
      </c>
      <c r="C567" s="28" t="s">
        <v>11</v>
      </c>
      <c r="D567" s="28" t="s">
        <v>70</v>
      </c>
      <c r="E567" s="28" t="s">
        <v>49</v>
      </c>
      <c r="F567" s="28" t="s">
        <v>43</v>
      </c>
      <c r="G567" s="28" t="s">
        <v>32</v>
      </c>
      <c r="H567" s="28" t="s">
        <v>85</v>
      </c>
      <c r="I567" s="28">
        <v>3350</v>
      </c>
      <c r="J567" s="28">
        <v>105000</v>
      </c>
      <c r="K567" s="28">
        <v>4200</v>
      </c>
      <c r="L567" s="28">
        <v>210</v>
      </c>
      <c r="M567" s="28">
        <v>0.05</v>
      </c>
      <c r="N567" s="28">
        <v>31500</v>
      </c>
      <c r="O567" s="28">
        <v>0.04</v>
      </c>
      <c r="P567" s="28">
        <v>0.8</v>
      </c>
      <c r="Q567" s="28">
        <v>8.4</v>
      </c>
      <c r="R567" s="26"/>
      <c r="S567" s="26"/>
      <c r="T567" s="26"/>
      <c r="U567" s="26"/>
    </row>
    <row r="568" spans="1:21" x14ac:dyDescent="0.3">
      <c r="A568" s="26"/>
      <c r="B568" s="29">
        <v>44953</v>
      </c>
      <c r="C568" s="28" t="s">
        <v>13</v>
      </c>
      <c r="D568" s="28" t="s">
        <v>75</v>
      </c>
      <c r="E568" s="28" t="s">
        <v>47</v>
      </c>
      <c r="F568" s="28" t="s">
        <v>43</v>
      </c>
      <c r="G568" s="28" t="s">
        <v>30</v>
      </c>
      <c r="H568" s="28" t="s">
        <v>85</v>
      </c>
      <c r="I568" s="28">
        <v>5100</v>
      </c>
      <c r="J568" s="28">
        <v>55000</v>
      </c>
      <c r="K568" s="28">
        <v>1650</v>
      </c>
      <c r="L568" s="28">
        <v>82</v>
      </c>
      <c r="M568" s="28">
        <v>0.05</v>
      </c>
      <c r="N568" s="28">
        <v>20625</v>
      </c>
      <c r="O568" s="28">
        <v>0.03</v>
      </c>
      <c r="P568" s="28">
        <v>3.09</v>
      </c>
      <c r="Q568" s="28">
        <v>3.04</v>
      </c>
      <c r="R568" s="26"/>
      <c r="S568" s="26"/>
      <c r="T568" s="26"/>
      <c r="U568" s="26"/>
    </row>
    <row r="569" spans="1:21" x14ac:dyDescent="0.3">
      <c r="A569" s="26"/>
      <c r="B569" s="29">
        <v>44960</v>
      </c>
      <c r="C569" s="28" t="s">
        <v>13</v>
      </c>
      <c r="D569" s="28" t="s">
        <v>65</v>
      </c>
      <c r="E569" s="28" t="s">
        <v>47</v>
      </c>
      <c r="F569" s="28" t="s">
        <v>36</v>
      </c>
      <c r="G569" s="28" t="s">
        <v>31</v>
      </c>
      <c r="H569" s="28" t="s">
        <v>85</v>
      </c>
      <c r="I569" s="28">
        <v>2050</v>
      </c>
      <c r="J569" s="28">
        <v>70000</v>
      </c>
      <c r="K569" s="28">
        <v>3500</v>
      </c>
      <c r="L569" s="28">
        <v>175</v>
      </c>
      <c r="M569" s="28">
        <v>0.05</v>
      </c>
      <c r="N569" s="28">
        <v>26250</v>
      </c>
      <c r="O569" s="28">
        <v>0.05</v>
      </c>
      <c r="P569" s="28">
        <v>0.59</v>
      </c>
      <c r="Q569" s="28">
        <v>11.8</v>
      </c>
      <c r="R569" s="26"/>
      <c r="S569" s="26"/>
      <c r="T569" s="26"/>
      <c r="U569" s="26"/>
    </row>
    <row r="570" spans="1:21" x14ac:dyDescent="0.3">
      <c r="A570" s="26"/>
      <c r="B570" s="29">
        <v>44967</v>
      </c>
      <c r="C570" s="28" t="s">
        <v>13</v>
      </c>
      <c r="D570" s="28" t="s">
        <v>76</v>
      </c>
      <c r="E570" s="28" t="s">
        <v>49</v>
      </c>
      <c r="F570" s="28" t="s">
        <v>44</v>
      </c>
      <c r="G570" s="28" t="s">
        <v>33</v>
      </c>
      <c r="H570" s="28" t="s">
        <v>85</v>
      </c>
      <c r="I570" s="28">
        <v>3150</v>
      </c>
      <c r="J570" s="28">
        <v>97000</v>
      </c>
      <c r="K570" s="28">
        <v>3880</v>
      </c>
      <c r="L570" s="28">
        <v>194</v>
      </c>
      <c r="M570" s="28">
        <v>0.05</v>
      </c>
      <c r="N570" s="28">
        <v>29100</v>
      </c>
      <c r="O570" s="28">
        <v>0.04</v>
      </c>
      <c r="P570" s="28">
        <v>0.81</v>
      </c>
      <c r="Q570" s="28">
        <v>8.24</v>
      </c>
      <c r="R570" s="26"/>
      <c r="S570" s="26"/>
      <c r="T570" s="26"/>
      <c r="U570" s="26"/>
    </row>
    <row r="571" spans="1:21" x14ac:dyDescent="0.3">
      <c r="A571" s="26"/>
      <c r="B571" s="29">
        <v>44974</v>
      </c>
      <c r="C571" s="28" t="s">
        <v>13</v>
      </c>
      <c r="D571" s="28" t="s">
        <v>84</v>
      </c>
      <c r="E571" s="28" t="s">
        <v>48</v>
      </c>
      <c r="F571" s="28" t="s">
        <v>45</v>
      </c>
      <c r="G571" s="28" t="s">
        <v>31</v>
      </c>
      <c r="H571" s="28" t="s">
        <v>85</v>
      </c>
      <c r="I571" s="28">
        <v>2250</v>
      </c>
      <c r="J571" s="28">
        <v>73000</v>
      </c>
      <c r="K571" s="28">
        <v>3650</v>
      </c>
      <c r="L571" s="28">
        <v>182</v>
      </c>
      <c r="M571" s="28">
        <v>0.05</v>
      </c>
      <c r="N571" s="28">
        <v>27375</v>
      </c>
      <c r="O571" s="28">
        <v>0.05</v>
      </c>
      <c r="P571" s="28">
        <v>0.62</v>
      </c>
      <c r="Q571" s="28">
        <v>11.17</v>
      </c>
      <c r="R571" s="26"/>
      <c r="S571" s="26"/>
      <c r="T571" s="26"/>
      <c r="U571" s="26"/>
    </row>
    <row r="572" spans="1:21" x14ac:dyDescent="0.3">
      <c r="A572" s="26"/>
      <c r="B572" s="29">
        <v>44981</v>
      </c>
      <c r="C572" s="28" t="s">
        <v>12</v>
      </c>
      <c r="D572" s="28" t="s">
        <v>69</v>
      </c>
      <c r="E572" s="28" t="s">
        <v>47</v>
      </c>
      <c r="F572" s="28" t="s">
        <v>40</v>
      </c>
      <c r="G572" s="28" t="s">
        <v>32</v>
      </c>
      <c r="H572" s="28" t="s">
        <v>85</v>
      </c>
      <c r="I572" s="28">
        <v>3750</v>
      </c>
      <c r="J572" s="28">
        <v>117000</v>
      </c>
      <c r="K572" s="28">
        <v>4680</v>
      </c>
      <c r="L572" s="28">
        <v>234</v>
      </c>
      <c r="M572" s="28">
        <v>0.05</v>
      </c>
      <c r="N572" s="28">
        <v>35100</v>
      </c>
      <c r="O572" s="28">
        <v>0.04</v>
      </c>
      <c r="P572" s="28">
        <v>0.8</v>
      </c>
      <c r="Q572" s="28">
        <v>8.36</v>
      </c>
      <c r="R572" s="26"/>
      <c r="S572" s="26"/>
      <c r="T572" s="26"/>
      <c r="U572" s="26"/>
    </row>
    <row r="573" spans="1:21" x14ac:dyDescent="0.3">
      <c r="A573" s="26"/>
      <c r="B573" s="29">
        <v>44988</v>
      </c>
      <c r="C573" s="28" t="s">
        <v>11</v>
      </c>
      <c r="D573" s="28" t="s">
        <v>77</v>
      </c>
      <c r="E573" s="28" t="s">
        <v>49</v>
      </c>
      <c r="F573" s="28" t="s">
        <v>44</v>
      </c>
      <c r="G573" s="28" t="s">
        <v>30</v>
      </c>
      <c r="H573" s="28" t="s">
        <v>85</v>
      </c>
      <c r="I573" s="28">
        <v>5600</v>
      </c>
      <c r="J573" s="28">
        <v>60000</v>
      </c>
      <c r="K573" s="28">
        <v>1800</v>
      </c>
      <c r="L573" s="28">
        <v>90</v>
      </c>
      <c r="M573" s="28">
        <v>0.05</v>
      </c>
      <c r="N573" s="28">
        <v>22500</v>
      </c>
      <c r="O573" s="28">
        <v>0.03</v>
      </c>
      <c r="P573" s="28">
        <v>3.11</v>
      </c>
      <c r="Q573" s="28">
        <v>3.02</v>
      </c>
      <c r="R573" s="26"/>
      <c r="S573" s="26"/>
      <c r="T573" s="26"/>
      <c r="U573" s="26"/>
    </row>
    <row r="574" spans="1:21" x14ac:dyDescent="0.3">
      <c r="A574" s="26"/>
      <c r="B574" s="29">
        <v>44995</v>
      </c>
      <c r="C574" s="28" t="s">
        <v>13</v>
      </c>
      <c r="D574" s="28" t="s">
        <v>67</v>
      </c>
      <c r="E574" s="28" t="s">
        <v>48</v>
      </c>
      <c r="F574" s="28" t="s">
        <v>35</v>
      </c>
      <c r="G574" s="28" t="s">
        <v>31</v>
      </c>
      <c r="H574" s="28" t="s">
        <v>85</v>
      </c>
      <c r="I574" s="28">
        <v>2450</v>
      </c>
      <c r="J574" s="28">
        <v>77000</v>
      </c>
      <c r="K574" s="28">
        <v>3850</v>
      </c>
      <c r="L574" s="28">
        <v>192</v>
      </c>
      <c r="M574" s="28">
        <v>0.05</v>
      </c>
      <c r="N574" s="28">
        <v>28875</v>
      </c>
      <c r="O574" s="28">
        <v>0.05</v>
      </c>
      <c r="P574" s="28">
        <v>0.64</v>
      </c>
      <c r="Q574" s="28">
        <v>10.79</v>
      </c>
      <c r="R574" s="26"/>
      <c r="S574" s="26"/>
      <c r="T574" s="26"/>
      <c r="U574" s="26"/>
    </row>
    <row r="575" spans="1:21" x14ac:dyDescent="0.3">
      <c r="A575" s="26"/>
      <c r="B575" s="29">
        <v>45002</v>
      </c>
      <c r="C575" s="28" t="s">
        <v>10</v>
      </c>
      <c r="D575" s="28" t="s">
        <v>68</v>
      </c>
      <c r="E575" s="28" t="s">
        <v>47</v>
      </c>
      <c r="F575" s="28" t="s">
        <v>41</v>
      </c>
      <c r="G575" s="28" t="s">
        <v>33</v>
      </c>
      <c r="H575" s="28" t="s">
        <v>85</v>
      </c>
      <c r="I575" s="28">
        <v>3250</v>
      </c>
      <c r="J575" s="28">
        <v>99000</v>
      </c>
      <c r="K575" s="28">
        <v>3960</v>
      </c>
      <c r="L575" s="28">
        <v>198</v>
      </c>
      <c r="M575" s="28">
        <v>0.05</v>
      </c>
      <c r="N575" s="28">
        <v>29700</v>
      </c>
      <c r="O575" s="28">
        <v>0.04</v>
      </c>
      <c r="P575" s="28">
        <v>0.82</v>
      </c>
      <c r="Q575" s="28">
        <v>8.14</v>
      </c>
      <c r="R575" s="26"/>
      <c r="S575" s="26"/>
      <c r="T575" s="26"/>
      <c r="U575" s="26"/>
    </row>
    <row r="576" spans="1:21" x14ac:dyDescent="0.3">
      <c r="A576" s="26"/>
      <c r="B576" s="29">
        <v>45009</v>
      </c>
      <c r="C576" s="28" t="s">
        <v>11</v>
      </c>
      <c r="D576" s="28" t="s">
        <v>74</v>
      </c>
      <c r="E576" s="28" t="s">
        <v>49</v>
      </c>
      <c r="F576" s="28" t="s">
        <v>42</v>
      </c>
      <c r="G576" s="28" t="s">
        <v>31</v>
      </c>
      <c r="H576" s="28" t="s">
        <v>86</v>
      </c>
      <c r="I576" s="28">
        <v>2350</v>
      </c>
      <c r="J576" s="28">
        <v>75000</v>
      </c>
      <c r="K576" s="28">
        <v>3750</v>
      </c>
      <c r="L576" s="28">
        <v>188</v>
      </c>
      <c r="M576" s="28">
        <v>0.05</v>
      </c>
      <c r="N576" s="28">
        <v>28125</v>
      </c>
      <c r="O576" s="28">
        <v>0.05</v>
      </c>
      <c r="P576" s="28">
        <v>0.63</v>
      </c>
      <c r="Q576" s="28">
        <v>10.97</v>
      </c>
      <c r="R576" s="26"/>
      <c r="S576" s="26"/>
      <c r="T576" s="26"/>
      <c r="U576" s="26"/>
    </row>
    <row r="577" spans="1:21" x14ac:dyDescent="0.3">
      <c r="A577" s="26"/>
      <c r="B577" s="29">
        <v>45016</v>
      </c>
      <c r="C577" s="28" t="s">
        <v>13</v>
      </c>
      <c r="D577" s="28" t="s">
        <v>69</v>
      </c>
      <c r="E577" s="28" t="s">
        <v>47</v>
      </c>
      <c r="F577" s="28" t="s">
        <v>45</v>
      </c>
      <c r="G577" s="28" t="s">
        <v>32</v>
      </c>
      <c r="H577" s="28" t="s">
        <v>86</v>
      </c>
      <c r="I577" s="28">
        <v>3850</v>
      </c>
      <c r="J577" s="28">
        <v>120000</v>
      </c>
      <c r="K577" s="28">
        <v>4800</v>
      </c>
      <c r="L577" s="28">
        <v>240</v>
      </c>
      <c r="M577" s="28">
        <v>0.05</v>
      </c>
      <c r="N577" s="28">
        <v>36000</v>
      </c>
      <c r="O577" s="28">
        <v>0.04</v>
      </c>
      <c r="P577" s="28">
        <v>0.8</v>
      </c>
      <c r="Q577" s="28">
        <v>8.35</v>
      </c>
      <c r="R577" s="26"/>
      <c r="S577" s="26"/>
      <c r="T577" s="26"/>
      <c r="U577" s="26"/>
    </row>
    <row r="578" spans="1:21" x14ac:dyDescent="0.3">
      <c r="A578" s="26"/>
      <c r="B578" s="29">
        <v>45023</v>
      </c>
      <c r="C578" s="28" t="s">
        <v>13</v>
      </c>
      <c r="D578" s="28" t="s">
        <v>71</v>
      </c>
      <c r="E578" s="28" t="s">
        <v>48</v>
      </c>
      <c r="F578" s="28" t="s">
        <v>45</v>
      </c>
      <c r="G578" s="28" t="s">
        <v>30</v>
      </c>
      <c r="H578" s="28" t="s">
        <v>86</v>
      </c>
      <c r="I578" s="28">
        <v>5800</v>
      </c>
      <c r="J578" s="28">
        <v>61000</v>
      </c>
      <c r="K578" s="28">
        <v>1830</v>
      </c>
      <c r="L578" s="28">
        <v>92</v>
      </c>
      <c r="M578" s="28">
        <v>0.05</v>
      </c>
      <c r="N578" s="28">
        <v>22875</v>
      </c>
      <c r="O578" s="28">
        <v>0.03</v>
      </c>
      <c r="P578" s="28">
        <v>3.17</v>
      </c>
      <c r="Q578" s="28">
        <v>2.94</v>
      </c>
      <c r="R578" s="26"/>
      <c r="S578" s="26"/>
      <c r="T578" s="26"/>
      <c r="U578" s="26"/>
    </row>
    <row r="579" spans="1:21" x14ac:dyDescent="0.3">
      <c r="A579" s="26"/>
      <c r="B579" s="29">
        <v>45030</v>
      </c>
      <c r="C579" s="28" t="s">
        <v>11</v>
      </c>
      <c r="D579" s="28" t="s">
        <v>84</v>
      </c>
      <c r="E579" s="28" t="s">
        <v>48</v>
      </c>
      <c r="F579" s="28" t="s">
        <v>45</v>
      </c>
      <c r="G579" s="28" t="s">
        <v>31</v>
      </c>
      <c r="H579" s="28" t="s">
        <v>86</v>
      </c>
      <c r="I579" s="28">
        <v>2650</v>
      </c>
      <c r="J579" s="28">
        <v>81000</v>
      </c>
      <c r="K579" s="28">
        <v>4050</v>
      </c>
      <c r="L579" s="28">
        <v>202</v>
      </c>
      <c r="M579" s="28">
        <v>0.05</v>
      </c>
      <c r="N579" s="28">
        <v>30375</v>
      </c>
      <c r="O579" s="28">
        <v>0.05</v>
      </c>
      <c r="P579" s="28">
        <v>0.65</v>
      </c>
      <c r="Q579" s="28">
        <v>10.46</v>
      </c>
      <c r="R579" s="26"/>
      <c r="S579" s="26"/>
      <c r="T579" s="26"/>
      <c r="U579" s="26"/>
    </row>
    <row r="580" spans="1:21" x14ac:dyDescent="0.3">
      <c r="A580" s="26"/>
      <c r="B580" s="29">
        <v>45037</v>
      </c>
      <c r="C580" s="28" t="s">
        <v>12</v>
      </c>
      <c r="D580" s="28" t="s">
        <v>83</v>
      </c>
      <c r="E580" s="28" t="s">
        <v>49</v>
      </c>
      <c r="F580" s="28" t="s">
        <v>40</v>
      </c>
      <c r="G580" s="28" t="s">
        <v>33</v>
      </c>
      <c r="H580" s="28" t="s">
        <v>86</v>
      </c>
      <c r="I580" s="28">
        <v>3450</v>
      </c>
      <c r="J580" s="28">
        <v>104000</v>
      </c>
      <c r="K580" s="28">
        <v>4160</v>
      </c>
      <c r="L580" s="28">
        <v>208</v>
      </c>
      <c r="M580" s="28">
        <v>0.05</v>
      </c>
      <c r="N580" s="28">
        <v>31200</v>
      </c>
      <c r="O580" s="28">
        <v>0.04</v>
      </c>
      <c r="P580" s="28">
        <v>0.83</v>
      </c>
      <c r="Q580" s="28">
        <v>8.0399999999999991</v>
      </c>
      <c r="R580" s="26"/>
      <c r="S580" s="26"/>
      <c r="T580" s="26"/>
      <c r="U580" s="26"/>
    </row>
    <row r="581" spans="1:21" x14ac:dyDescent="0.3">
      <c r="A581" s="26"/>
      <c r="B581" s="29">
        <v>45044</v>
      </c>
      <c r="C581" s="28" t="s">
        <v>12</v>
      </c>
      <c r="D581" s="28" t="s">
        <v>83</v>
      </c>
      <c r="E581" s="28" t="s">
        <v>49</v>
      </c>
      <c r="F581" s="28" t="s">
        <v>35</v>
      </c>
      <c r="G581" s="28" t="s">
        <v>31</v>
      </c>
      <c r="H581" s="28" t="s">
        <v>86</v>
      </c>
      <c r="I581" s="28">
        <v>2550</v>
      </c>
      <c r="J581" s="28">
        <v>78000</v>
      </c>
      <c r="K581" s="28">
        <v>3900</v>
      </c>
      <c r="L581" s="28">
        <v>195</v>
      </c>
      <c r="M581" s="28">
        <v>0.05</v>
      </c>
      <c r="N581" s="28">
        <v>29250</v>
      </c>
      <c r="O581" s="28">
        <v>0.05</v>
      </c>
      <c r="P581" s="28">
        <v>0.65</v>
      </c>
      <c r="Q581" s="28">
        <v>10.47</v>
      </c>
      <c r="R581" s="26"/>
      <c r="S581" s="26"/>
      <c r="T581" s="26"/>
      <c r="U581" s="26"/>
    </row>
    <row r="582" spans="1:21" x14ac:dyDescent="0.3">
      <c r="A582" s="26"/>
      <c r="B582" s="29">
        <v>45051</v>
      </c>
      <c r="C582" s="28" t="s">
        <v>10</v>
      </c>
      <c r="D582" s="28" t="s">
        <v>84</v>
      </c>
      <c r="E582" s="28" t="s">
        <v>48</v>
      </c>
      <c r="F582" s="28" t="s">
        <v>41</v>
      </c>
      <c r="G582" s="28" t="s">
        <v>32</v>
      </c>
      <c r="H582" s="28" t="s">
        <v>86</v>
      </c>
      <c r="I582" s="28">
        <v>3950</v>
      </c>
      <c r="J582" s="28">
        <v>122000</v>
      </c>
      <c r="K582" s="28">
        <v>4880</v>
      </c>
      <c r="L582" s="28">
        <v>244</v>
      </c>
      <c r="M582" s="28">
        <v>0.05</v>
      </c>
      <c r="N582" s="28">
        <v>36600</v>
      </c>
      <c r="O582" s="28">
        <v>0.04</v>
      </c>
      <c r="P582" s="28">
        <v>0.81</v>
      </c>
      <c r="Q582" s="28">
        <v>8.27</v>
      </c>
      <c r="R582" s="26"/>
      <c r="S582" s="26"/>
      <c r="T582" s="26"/>
      <c r="U582" s="26"/>
    </row>
    <row r="583" spans="1:21" x14ac:dyDescent="0.3">
      <c r="A583" s="26"/>
      <c r="B583" s="29">
        <v>45058</v>
      </c>
      <c r="C583" s="28" t="s">
        <v>11</v>
      </c>
      <c r="D583" s="28" t="s">
        <v>75</v>
      </c>
      <c r="E583" s="28" t="s">
        <v>47</v>
      </c>
      <c r="F583" s="28" t="s">
        <v>44</v>
      </c>
      <c r="G583" s="28" t="s">
        <v>30</v>
      </c>
      <c r="H583" s="28" t="s">
        <v>86</v>
      </c>
      <c r="I583" s="28">
        <v>5400</v>
      </c>
      <c r="J583" s="28">
        <v>58000</v>
      </c>
      <c r="K583" s="28">
        <v>1740</v>
      </c>
      <c r="L583" s="28">
        <v>87</v>
      </c>
      <c r="M583" s="28">
        <v>0.05</v>
      </c>
      <c r="N583" s="28">
        <v>21750</v>
      </c>
      <c r="O583" s="28">
        <v>0.03</v>
      </c>
      <c r="P583" s="28">
        <v>3.1</v>
      </c>
      <c r="Q583" s="28">
        <v>3.03</v>
      </c>
      <c r="R583" s="26"/>
      <c r="S583" s="26"/>
      <c r="T583" s="26"/>
      <c r="U583" s="26"/>
    </row>
    <row r="584" spans="1:21" x14ac:dyDescent="0.3">
      <c r="A584" s="26"/>
      <c r="B584" s="29">
        <v>45065</v>
      </c>
      <c r="C584" s="28" t="s">
        <v>10</v>
      </c>
      <c r="D584" s="28" t="s">
        <v>75</v>
      </c>
      <c r="E584" s="28" t="s">
        <v>47</v>
      </c>
      <c r="F584" s="28" t="s">
        <v>35</v>
      </c>
      <c r="G584" s="28" t="s">
        <v>31</v>
      </c>
      <c r="H584" s="28" t="s">
        <v>86</v>
      </c>
      <c r="I584" s="28">
        <v>2750</v>
      </c>
      <c r="J584" s="28">
        <v>84000</v>
      </c>
      <c r="K584" s="28">
        <v>4200</v>
      </c>
      <c r="L584" s="28">
        <v>210</v>
      </c>
      <c r="M584" s="28">
        <v>0.05</v>
      </c>
      <c r="N584" s="28">
        <v>31500</v>
      </c>
      <c r="O584" s="28">
        <v>0.05</v>
      </c>
      <c r="P584" s="28">
        <v>0.65</v>
      </c>
      <c r="Q584" s="28">
        <v>10.45</v>
      </c>
      <c r="R584" s="26"/>
      <c r="S584" s="26"/>
      <c r="T584" s="26"/>
      <c r="U584" s="26"/>
    </row>
    <row r="585" spans="1:21" x14ac:dyDescent="0.3">
      <c r="A585" s="26"/>
      <c r="B585" s="29">
        <v>45072</v>
      </c>
      <c r="C585" s="28" t="s">
        <v>12</v>
      </c>
      <c r="D585" s="28" t="s">
        <v>70</v>
      </c>
      <c r="E585" s="28" t="s">
        <v>49</v>
      </c>
      <c r="F585" s="28" t="s">
        <v>45</v>
      </c>
      <c r="G585" s="28" t="s">
        <v>33</v>
      </c>
      <c r="H585" s="28" t="s">
        <v>86</v>
      </c>
      <c r="I585" s="28">
        <v>3550</v>
      </c>
      <c r="J585" s="28">
        <v>107000</v>
      </c>
      <c r="K585" s="28">
        <v>4280</v>
      </c>
      <c r="L585" s="28">
        <v>214</v>
      </c>
      <c r="M585" s="28">
        <v>0.05</v>
      </c>
      <c r="N585" s="28">
        <v>32100</v>
      </c>
      <c r="O585" s="28">
        <v>0.04</v>
      </c>
      <c r="P585" s="28">
        <v>0.83</v>
      </c>
      <c r="Q585" s="28">
        <v>8.0399999999999991</v>
      </c>
      <c r="R585" s="26"/>
      <c r="S585" s="26"/>
      <c r="T585" s="26"/>
      <c r="U585" s="26"/>
    </row>
    <row r="586" spans="1:21" x14ac:dyDescent="0.3">
      <c r="A586" s="26"/>
      <c r="B586" s="29">
        <v>45079</v>
      </c>
      <c r="C586" s="28" t="s">
        <v>12</v>
      </c>
      <c r="D586" s="28" t="s">
        <v>80</v>
      </c>
      <c r="E586" s="28" t="s">
        <v>48</v>
      </c>
      <c r="F586" s="28" t="s">
        <v>37</v>
      </c>
      <c r="G586" s="28" t="s">
        <v>31</v>
      </c>
      <c r="H586" s="28" t="s">
        <v>86</v>
      </c>
      <c r="I586" s="28">
        <v>2850</v>
      </c>
      <c r="J586" s="28">
        <v>86000</v>
      </c>
      <c r="K586" s="28">
        <v>4300</v>
      </c>
      <c r="L586" s="28">
        <v>215</v>
      </c>
      <c r="M586" s="28">
        <v>0.05</v>
      </c>
      <c r="N586" s="28">
        <v>32250</v>
      </c>
      <c r="O586" s="28">
        <v>0.05</v>
      </c>
      <c r="P586" s="28">
        <v>0.66</v>
      </c>
      <c r="Q586" s="28">
        <v>10.32</v>
      </c>
      <c r="R586" s="26"/>
      <c r="S586" s="26"/>
      <c r="T586" s="26"/>
      <c r="U586" s="26"/>
    </row>
    <row r="587" spans="1:21" x14ac:dyDescent="0.3">
      <c r="A587" s="26"/>
      <c r="B587" s="29">
        <v>45086</v>
      </c>
      <c r="C587" s="28" t="s">
        <v>10</v>
      </c>
      <c r="D587" s="28" t="s">
        <v>68</v>
      </c>
      <c r="E587" s="28" t="s">
        <v>47</v>
      </c>
      <c r="F587" s="28" t="s">
        <v>45</v>
      </c>
      <c r="G587" s="28" t="s">
        <v>32</v>
      </c>
      <c r="H587" s="28" t="s">
        <v>86</v>
      </c>
      <c r="I587" s="28">
        <v>4050</v>
      </c>
      <c r="J587" s="28">
        <v>125000</v>
      </c>
      <c r="K587" s="28">
        <v>5000</v>
      </c>
      <c r="L587" s="28">
        <v>250</v>
      </c>
      <c r="M587" s="28">
        <v>0.05</v>
      </c>
      <c r="N587" s="28">
        <v>37500</v>
      </c>
      <c r="O587" s="28">
        <v>0.04</v>
      </c>
      <c r="P587" s="28">
        <v>0.81</v>
      </c>
      <c r="Q587" s="28">
        <v>8.26</v>
      </c>
      <c r="R587" s="26"/>
      <c r="S587" s="26"/>
      <c r="T587" s="26"/>
      <c r="U587" s="26"/>
    </row>
    <row r="588" spans="1:21" x14ac:dyDescent="0.3">
      <c r="A588" s="26"/>
      <c r="B588" s="29">
        <v>45093</v>
      </c>
      <c r="C588" s="28" t="s">
        <v>12</v>
      </c>
      <c r="D588" s="28" t="s">
        <v>66</v>
      </c>
      <c r="E588" s="28" t="s">
        <v>48</v>
      </c>
      <c r="F588" s="28" t="s">
        <v>44</v>
      </c>
      <c r="G588" s="28" t="s">
        <v>30</v>
      </c>
      <c r="H588" s="28" t="s">
        <v>86</v>
      </c>
      <c r="I588" s="28">
        <v>5700</v>
      </c>
      <c r="J588" s="28">
        <v>60000</v>
      </c>
      <c r="K588" s="28">
        <v>1800</v>
      </c>
      <c r="L588" s="28">
        <v>90</v>
      </c>
      <c r="M588" s="28">
        <v>0.05</v>
      </c>
      <c r="N588" s="28">
        <v>22500</v>
      </c>
      <c r="O588" s="28">
        <v>0.03</v>
      </c>
      <c r="P588" s="28">
        <v>3.17</v>
      </c>
      <c r="Q588" s="28">
        <v>2.95</v>
      </c>
      <c r="R588" s="26"/>
      <c r="S588" s="26"/>
      <c r="T588" s="26"/>
      <c r="U588" s="26"/>
    </row>
    <row r="589" spans="1:21" x14ac:dyDescent="0.3">
      <c r="A589" s="26"/>
      <c r="B589" s="29">
        <v>45100</v>
      </c>
      <c r="C589" s="28" t="s">
        <v>11</v>
      </c>
      <c r="D589" s="28" t="s">
        <v>66</v>
      </c>
      <c r="E589" s="28" t="s">
        <v>48</v>
      </c>
      <c r="F589" s="28" t="s">
        <v>45</v>
      </c>
      <c r="G589" s="28" t="s">
        <v>31</v>
      </c>
      <c r="H589" s="28" t="s">
        <v>86</v>
      </c>
      <c r="I589" s="28">
        <v>2950</v>
      </c>
      <c r="J589" s="28">
        <v>89000</v>
      </c>
      <c r="K589" s="28">
        <v>4450</v>
      </c>
      <c r="L589" s="28">
        <v>222</v>
      </c>
      <c r="M589" s="28">
        <v>0.05</v>
      </c>
      <c r="N589" s="28">
        <v>33375</v>
      </c>
      <c r="O589" s="28">
        <v>0.05</v>
      </c>
      <c r="P589" s="28">
        <v>0.66</v>
      </c>
      <c r="Q589" s="28">
        <v>10.31</v>
      </c>
      <c r="R589" s="26"/>
      <c r="S589" s="26"/>
      <c r="T589" s="26"/>
      <c r="U589" s="26"/>
    </row>
    <row r="590" spans="1:21" x14ac:dyDescent="0.3">
      <c r="A590" s="26"/>
      <c r="B590" s="29">
        <v>45107</v>
      </c>
      <c r="C590" s="28" t="s">
        <v>12</v>
      </c>
      <c r="D590" s="28" t="s">
        <v>80</v>
      </c>
      <c r="E590" s="28" t="s">
        <v>48</v>
      </c>
      <c r="F590" s="28" t="s">
        <v>44</v>
      </c>
      <c r="G590" s="28" t="s">
        <v>33</v>
      </c>
      <c r="H590" s="28" t="s">
        <v>87</v>
      </c>
      <c r="I590" s="28">
        <v>3750</v>
      </c>
      <c r="J590" s="28">
        <v>113000</v>
      </c>
      <c r="K590" s="28">
        <v>4520</v>
      </c>
      <c r="L590" s="28">
        <v>226</v>
      </c>
      <c r="M590" s="28">
        <v>0.05</v>
      </c>
      <c r="N590" s="28">
        <v>33900</v>
      </c>
      <c r="O590" s="28">
        <v>0.04</v>
      </c>
      <c r="P590" s="28">
        <v>0.83</v>
      </c>
      <c r="Q590" s="28">
        <v>8.0399999999999991</v>
      </c>
      <c r="R590" s="26"/>
      <c r="S590" s="26"/>
      <c r="T590" s="26"/>
      <c r="U590" s="26"/>
    </row>
    <row r="591" spans="1:21" x14ac:dyDescent="0.3">
      <c r="A591" s="26"/>
      <c r="B591" s="29">
        <v>45114</v>
      </c>
      <c r="C591" s="28" t="s">
        <v>11</v>
      </c>
      <c r="D591" s="28" t="s">
        <v>71</v>
      </c>
      <c r="E591" s="28" t="s">
        <v>48</v>
      </c>
      <c r="F591" s="28" t="s">
        <v>36</v>
      </c>
      <c r="G591" s="28" t="s">
        <v>31</v>
      </c>
      <c r="H591" s="28" t="s">
        <v>87</v>
      </c>
      <c r="I591" s="28">
        <v>3050</v>
      </c>
      <c r="J591" s="28">
        <v>92000</v>
      </c>
      <c r="K591" s="28">
        <v>4600</v>
      </c>
      <c r="L591" s="28">
        <v>230</v>
      </c>
      <c r="M591" s="28">
        <v>0.05</v>
      </c>
      <c r="N591" s="28">
        <v>34500</v>
      </c>
      <c r="O591" s="28">
        <v>0.05</v>
      </c>
      <c r="P591" s="28">
        <v>0.66</v>
      </c>
      <c r="Q591" s="28">
        <v>10.31</v>
      </c>
      <c r="R591" s="26"/>
      <c r="S591" s="26"/>
      <c r="T591" s="26"/>
      <c r="U591" s="26"/>
    </row>
    <row r="592" spans="1:21" x14ac:dyDescent="0.3">
      <c r="A592" s="26"/>
      <c r="B592" s="29">
        <v>45121</v>
      </c>
      <c r="C592" s="28" t="s">
        <v>12</v>
      </c>
      <c r="D592" s="28" t="s">
        <v>71</v>
      </c>
      <c r="E592" s="28" t="s">
        <v>48</v>
      </c>
      <c r="F592" s="28" t="s">
        <v>45</v>
      </c>
      <c r="G592" s="28" t="s">
        <v>32</v>
      </c>
      <c r="H592" s="28" t="s">
        <v>87</v>
      </c>
      <c r="I592" s="28">
        <v>4250</v>
      </c>
      <c r="J592" s="28">
        <v>131000</v>
      </c>
      <c r="K592" s="28">
        <v>5240</v>
      </c>
      <c r="L592" s="28">
        <v>262</v>
      </c>
      <c r="M592" s="28">
        <v>0.05</v>
      </c>
      <c r="N592" s="28">
        <v>39300</v>
      </c>
      <c r="O592" s="28">
        <v>0.04</v>
      </c>
      <c r="P592" s="28">
        <v>0.81</v>
      </c>
      <c r="Q592" s="28">
        <v>8.25</v>
      </c>
      <c r="R592" s="26"/>
      <c r="S592" s="26"/>
      <c r="T592" s="26"/>
      <c r="U592" s="26"/>
    </row>
    <row r="593" spans="1:21" x14ac:dyDescent="0.3">
      <c r="A593" s="26"/>
      <c r="B593" s="29">
        <v>45128</v>
      </c>
      <c r="C593" s="28" t="s">
        <v>12</v>
      </c>
      <c r="D593" s="28" t="s">
        <v>83</v>
      </c>
      <c r="E593" s="28" t="s">
        <v>49</v>
      </c>
      <c r="F593" s="28" t="s">
        <v>45</v>
      </c>
      <c r="G593" s="28" t="s">
        <v>30</v>
      </c>
      <c r="H593" s="28" t="s">
        <v>87</v>
      </c>
      <c r="I593" s="28">
        <v>6000</v>
      </c>
      <c r="J593" s="28">
        <v>63000</v>
      </c>
      <c r="K593" s="28">
        <v>1890</v>
      </c>
      <c r="L593" s="28">
        <v>94</v>
      </c>
      <c r="M593" s="28">
        <v>0.05</v>
      </c>
      <c r="N593" s="28">
        <v>23625</v>
      </c>
      <c r="O593" s="28">
        <v>0.03</v>
      </c>
      <c r="P593" s="28">
        <v>3.17</v>
      </c>
      <c r="Q593" s="28">
        <v>2.94</v>
      </c>
      <c r="R593" s="26"/>
      <c r="S593" s="26"/>
      <c r="T593" s="26"/>
      <c r="U593" s="26"/>
    </row>
    <row r="594" spans="1:21" x14ac:dyDescent="0.3">
      <c r="A594" s="26"/>
      <c r="B594" s="29">
        <v>45135</v>
      </c>
      <c r="C594" s="28" t="s">
        <v>11</v>
      </c>
      <c r="D594" s="28" t="s">
        <v>82</v>
      </c>
      <c r="E594" s="28" t="s">
        <v>47</v>
      </c>
      <c r="F594" s="28" t="s">
        <v>41</v>
      </c>
      <c r="G594" s="28" t="s">
        <v>31</v>
      </c>
      <c r="H594" s="28" t="s">
        <v>87</v>
      </c>
      <c r="I594" s="28">
        <v>3150</v>
      </c>
      <c r="J594" s="28">
        <v>95000</v>
      </c>
      <c r="K594" s="28">
        <v>4750</v>
      </c>
      <c r="L594" s="28">
        <v>238</v>
      </c>
      <c r="M594" s="28">
        <v>0.05</v>
      </c>
      <c r="N594" s="28">
        <v>35625</v>
      </c>
      <c r="O594" s="28">
        <v>0.05</v>
      </c>
      <c r="P594" s="28">
        <v>0.66</v>
      </c>
      <c r="Q594" s="28">
        <v>10.31</v>
      </c>
      <c r="R594" s="26"/>
      <c r="S594" s="26"/>
      <c r="T594" s="26"/>
      <c r="U594" s="26"/>
    </row>
    <row r="595" spans="1:21" x14ac:dyDescent="0.3">
      <c r="A595" s="26"/>
      <c r="B595" s="29">
        <v>45142</v>
      </c>
      <c r="C595" s="28" t="s">
        <v>10</v>
      </c>
      <c r="D595" s="28" t="s">
        <v>68</v>
      </c>
      <c r="E595" s="28" t="s">
        <v>47</v>
      </c>
      <c r="F595" s="28" t="s">
        <v>44</v>
      </c>
      <c r="G595" s="28" t="s">
        <v>33</v>
      </c>
      <c r="H595" s="28" t="s">
        <v>87</v>
      </c>
      <c r="I595" s="28">
        <v>3850</v>
      </c>
      <c r="J595" s="28">
        <v>117000</v>
      </c>
      <c r="K595" s="28">
        <v>4680</v>
      </c>
      <c r="L595" s="28">
        <v>234</v>
      </c>
      <c r="M595" s="28">
        <v>0.05</v>
      </c>
      <c r="N595" s="28">
        <v>35100</v>
      </c>
      <c r="O595" s="28">
        <v>0.04</v>
      </c>
      <c r="P595" s="28">
        <v>0.82</v>
      </c>
      <c r="Q595" s="28">
        <v>8.1199999999999992</v>
      </c>
      <c r="R595" s="26"/>
      <c r="S595" s="26"/>
      <c r="T595" s="26"/>
      <c r="U595" s="26"/>
    </row>
    <row r="596" spans="1:21" x14ac:dyDescent="0.3">
      <c r="A596" s="26"/>
      <c r="B596" s="29">
        <v>45149</v>
      </c>
      <c r="C596" s="28" t="s">
        <v>13</v>
      </c>
      <c r="D596" s="28" t="s">
        <v>67</v>
      </c>
      <c r="E596" s="28" t="s">
        <v>48</v>
      </c>
      <c r="F596" s="28" t="s">
        <v>35</v>
      </c>
      <c r="G596" s="28" t="s">
        <v>31</v>
      </c>
      <c r="H596" s="28" t="s">
        <v>87</v>
      </c>
      <c r="I596" s="28">
        <v>3250</v>
      </c>
      <c r="J596" s="28">
        <v>98000</v>
      </c>
      <c r="K596" s="28">
        <v>4900</v>
      </c>
      <c r="L596" s="28">
        <v>245</v>
      </c>
      <c r="M596" s="28">
        <v>0.05</v>
      </c>
      <c r="N596" s="28">
        <v>36750</v>
      </c>
      <c r="O596" s="28">
        <v>0.05</v>
      </c>
      <c r="P596" s="28">
        <v>0.66</v>
      </c>
      <c r="Q596" s="28">
        <v>10.31</v>
      </c>
      <c r="R596" s="26"/>
      <c r="S596" s="26"/>
      <c r="T596" s="26"/>
      <c r="U596" s="26"/>
    </row>
    <row r="597" spans="1:21" x14ac:dyDescent="0.3">
      <c r="A597" s="26"/>
      <c r="B597" s="29">
        <v>45156</v>
      </c>
      <c r="C597" s="28" t="s">
        <v>12</v>
      </c>
      <c r="D597" s="28" t="s">
        <v>72</v>
      </c>
      <c r="E597" s="28" t="s">
        <v>47</v>
      </c>
      <c r="F597" s="28" t="s">
        <v>45</v>
      </c>
      <c r="G597" s="28" t="s">
        <v>32</v>
      </c>
      <c r="H597" s="28" t="s">
        <v>87</v>
      </c>
      <c r="I597" s="28">
        <v>4350</v>
      </c>
      <c r="J597" s="28">
        <v>134000</v>
      </c>
      <c r="K597" s="28">
        <v>5360</v>
      </c>
      <c r="L597" s="28">
        <v>268</v>
      </c>
      <c r="M597" s="28">
        <v>0.05</v>
      </c>
      <c r="N597" s="28">
        <v>40200</v>
      </c>
      <c r="O597" s="28">
        <v>0.04</v>
      </c>
      <c r="P597" s="28">
        <v>0.81</v>
      </c>
      <c r="Q597" s="28">
        <v>8.24</v>
      </c>
      <c r="R597" s="26"/>
      <c r="S597" s="26"/>
      <c r="T597" s="26"/>
      <c r="U597" s="26"/>
    </row>
    <row r="598" spans="1:21" x14ac:dyDescent="0.3">
      <c r="A598" s="26"/>
      <c r="B598" s="29">
        <v>45163</v>
      </c>
      <c r="C598" s="28" t="s">
        <v>12</v>
      </c>
      <c r="D598" s="28" t="s">
        <v>79</v>
      </c>
      <c r="E598" s="28" t="s">
        <v>47</v>
      </c>
      <c r="F598" s="28" t="s">
        <v>45</v>
      </c>
      <c r="G598" s="28" t="s">
        <v>30</v>
      </c>
      <c r="H598" s="28" t="s">
        <v>87</v>
      </c>
      <c r="I598" s="28">
        <v>5900</v>
      </c>
      <c r="J598" s="28">
        <v>62000</v>
      </c>
      <c r="K598" s="28">
        <v>1860</v>
      </c>
      <c r="L598" s="28">
        <v>93</v>
      </c>
      <c r="M598" s="28">
        <v>0.05</v>
      </c>
      <c r="N598" s="28">
        <v>23250</v>
      </c>
      <c r="O598" s="28">
        <v>0.03</v>
      </c>
      <c r="P598" s="28">
        <v>3.17</v>
      </c>
      <c r="Q598" s="28">
        <v>2.94</v>
      </c>
      <c r="R598" s="26"/>
      <c r="S598" s="26"/>
      <c r="T598" s="26"/>
      <c r="U598" s="26"/>
    </row>
    <row r="599" spans="1:21" x14ac:dyDescent="0.3">
      <c r="A599" s="26"/>
      <c r="B599" s="29">
        <v>45170</v>
      </c>
      <c r="C599" s="28" t="s">
        <v>10</v>
      </c>
      <c r="D599" s="28" t="s">
        <v>67</v>
      </c>
      <c r="E599" s="28" t="s">
        <v>48</v>
      </c>
      <c r="F599" s="28" t="s">
        <v>44</v>
      </c>
      <c r="G599" s="28" t="s">
        <v>31</v>
      </c>
      <c r="H599" s="28" t="s">
        <v>87</v>
      </c>
      <c r="I599" s="28">
        <v>3350</v>
      </c>
      <c r="J599" s="28">
        <v>101000</v>
      </c>
      <c r="K599" s="28">
        <v>5050</v>
      </c>
      <c r="L599" s="28">
        <v>252</v>
      </c>
      <c r="M599" s="28">
        <v>0.05</v>
      </c>
      <c r="N599" s="28">
        <v>37875</v>
      </c>
      <c r="O599" s="28">
        <v>0.05</v>
      </c>
      <c r="P599" s="28">
        <v>0.66</v>
      </c>
      <c r="Q599" s="28">
        <v>10.31</v>
      </c>
      <c r="R599" s="26"/>
      <c r="S599" s="26"/>
      <c r="T599" s="26"/>
      <c r="U599" s="26"/>
    </row>
    <row r="600" spans="1:21" x14ac:dyDescent="0.3">
      <c r="A600" s="26"/>
      <c r="B600" s="29">
        <v>45177</v>
      </c>
      <c r="C600" s="28" t="s">
        <v>12</v>
      </c>
      <c r="D600" s="28" t="s">
        <v>80</v>
      </c>
      <c r="E600" s="28" t="s">
        <v>48</v>
      </c>
      <c r="F600" s="28" t="s">
        <v>44</v>
      </c>
      <c r="G600" s="28" t="s">
        <v>33</v>
      </c>
      <c r="H600" s="28" t="s">
        <v>87</v>
      </c>
      <c r="I600" s="28">
        <v>3950</v>
      </c>
      <c r="J600" s="28">
        <v>120000</v>
      </c>
      <c r="K600" s="28">
        <v>4800</v>
      </c>
      <c r="L600" s="28">
        <v>240</v>
      </c>
      <c r="M600" s="28">
        <v>0.05</v>
      </c>
      <c r="N600" s="28">
        <v>36000</v>
      </c>
      <c r="O600" s="28">
        <v>0.04</v>
      </c>
      <c r="P600" s="28">
        <v>0.82</v>
      </c>
      <c r="Q600" s="28">
        <v>8.11</v>
      </c>
      <c r="R600" s="26"/>
      <c r="S600" s="26"/>
      <c r="T600" s="26"/>
      <c r="U600" s="26"/>
    </row>
    <row r="601" spans="1:21" x14ac:dyDescent="0.3">
      <c r="A601" s="26"/>
      <c r="B601" s="29">
        <v>45184</v>
      </c>
      <c r="C601" s="28" t="s">
        <v>10</v>
      </c>
      <c r="D601" s="28" t="s">
        <v>70</v>
      </c>
      <c r="E601" s="28" t="s">
        <v>49</v>
      </c>
      <c r="F601" s="28" t="s">
        <v>36</v>
      </c>
      <c r="G601" s="28" t="s">
        <v>31</v>
      </c>
      <c r="H601" s="28" t="s">
        <v>87</v>
      </c>
      <c r="I601" s="28">
        <v>3450</v>
      </c>
      <c r="J601" s="28">
        <v>104000</v>
      </c>
      <c r="K601" s="28">
        <v>5200</v>
      </c>
      <c r="L601" s="28">
        <v>260</v>
      </c>
      <c r="M601" s="28">
        <v>0.05</v>
      </c>
      <c r="N601" s="28">
        <v>39000</v>
      </c>
      <c r="O601" s="28">
        <v>0.05</v>
      </c>
      <c r="P601" s="28">
        <v>0.66</v>
      </c>
      <c r="Q601" s="28">
        <v>10.3</v>
      </c>
      <c r="R601" s="26"/>
      <c r="S601" s="26"/>
      <c r="T601" s="26"/>
      <c r="U601" s="26"/>
    </row>
    <row r="602" spans="1:21" x14ac:dyDescent="0.3">
      <c r="A602" s="26"/>
      <c r="B602" s="29">
        <v>45191</v>
      </c>
      <c r="C602" s="28" t="s">
        <v>10</v>
      </c>
      <c r="D602" s="28" t="s">
        <v>65</v>
      </c>
      <c r="E602" s="28" t="s">
        <v>47</v>
      </c>
      <c r="F602" s="28" t="s">
        <v>40</v>
      </c>
      <c r="G602" s="28" t="s">
        <v>32</v>
      </c>
      <c r="H602" s="28" t="s">
        <v>88</v>
      </c>
      <c r="I602" s="28">
        <v>4450</v>
      </c>
      <c r="J602" s="28">
        <v>137000</v>
      </c>
      <c r="K602" s="28">
        <v>5480</v>
      </c>
      <c r="L602" s="28">
        <v>274</v>
      </c>
      <c r="M602" s="28">
        <v>0.05</v>
      </c>
      <c r="N602" s="28">
        <v>41100</v>
      </c>
      <c r="O602" s="28">
        <v>0.04</v>
      </c>
      <c r="P602" s="28">
        <v>0.81</v>
      </c>
      <c r="Q602" s="28">
        <v>8.24</v>
      </c>
      <c r="R602" s="26"/>
      <c r="S602" s="26"/>
      <c r="T602" s="26"/>
      <c r="U602" s="26"/>
    </row>
    <row r="603" spans="1:21" x14ac:dyDescent="0.3">
      <c r="A603" s="26"/>
      <c r="B603" s="29">
        <v>45198</v>
      </c>
      <c r="C603" s="28" t="s">
        <v>11</v>
      </c>
      <c r="D603" s="28" t="s">
        <v>77</v>
      </c>
      <c r="E603" s="28" t="s">
        <v>49</v>
      </c>
      <c r="F603" s="28" t="s">
        <v>36</v>
      </c>
      <c r="G603" s="28" t="s">
        <v>30</v>
      </c>
      <c r="H603" s="28" t="s">
        <v>88</v>
      </c>
      <c r="I603" s="28">
        <v>6200</v>
      </c>
      <c r="J603" s="28">
        <v>65000</v>
      </c>
      <c r="K603" s="28">
        <v>1950</v>
      </c>
      <c r="L603" s="28">
        <v>98</v>
      </c>
      <c r="M603" s="28">
        <v>0.05</v>
      </c>
      <c r="N603" s="28">
        <v>24375</v>
      </c>
      <c r="O603" s="28">
        <v>0.03</v>
      </c>
      <c r="P603" s="28">
        <v>3.18</v>
      </c>
      <c r="Q603" s="28">
        <v>2.93</v>
      </c>
      <c r="R603" s="26"/>
      <c r="S603" s="26"/>
      <c r="T603" s="26"/>
      <c r="U603" s="26"/>
    </row>
    <row r="604" spans="1:21" x14ac:dyDescent="0.3">
      <c r="A604" s="26"/>
      <c r="B604" s="29">
        <v>45205</v>
      </c>
      <c r="C604" s="28" t="s">
        <v>12</v>
      </c>
      <c r="D604" s="28" t="s">
        <v>78</v>
      </c>
      <c r="E604" s="28" t="s">
        <v>48</v>
      </c>
      <c r="F604" s="28" t="s">
        <v>44</v>
      </c>
      <c r="G604" s="28" t="s">
        <v>31</v>
      </c>
      <c r="H604" s="28" t="s">
        <v>88</v>
      </c>
      <c r="I604" s="28">
        <v>3550</v>
      </c>
      <c r="J604" s="28">
        <v>107000</v>
      </c>
      <c r="K604" s="28">
        <v>5350</v>
      </c>
      <c r="L604" s="28">
        <v>268</v>
      </c>
      <c r="M604" s="28">
        <v>0.05</v>
      </c>
      <c r="N604" s="28">
        <v>40125</v>
      </c>
      <c r="O604" s="28">
        <v>0.05</v>
      </c>
      <c r="P604" s="28">
        <v>0.66</v>
      </c>
      <c r="Q604" s="28">
        <v>10.3</v>
      </c>
      <c r="R604" s="26"/>
      <c r="S604" s="26"/>
      <c r="T604" s="26"/>
      <c r="U604" s="26"/>
    </row>
    <row r="605" spans="1:21" x14ac:dyDescent="0.3">
      <c r="A605" s="26"/>
      <c r="B605" s="29">
        <v>45212</v>
      </c>
      <c r="C605" s="28" t="s">
        <v>11</v>
      </c>
      <c r="D605" s="28" t="s">
        <v>65</v>
      </c>
      <c r="E605" s="28" t="s">
        <v>47</v>
      </c>
      <c r="F605" s="28" t="s">
        <v>41</v>
      </c>
      <c r="G605" s="28" t="s">
        <v>33</v>
      </c>
      <c r="H605" s="28" t="s">
        <v>88</v>
      </c>
      <c r="I605" s="28">
        <v>4050</v>
      </c>
      <c r="J605" s="28">
        <v>123000</v>
      </c>
      <c r="K605" s="28">
        <v>4920</v>
      </c>
      <c r="L605" s="28">
        <v>246</v>
      </c>
      <c r="M605" s="28">
        <v>0.05</v>
      </c>
      <c r="N605" s="28">
        <v>36900</v>
      </c>
      <c r="O605" s="28">
        <v>0.04</v>
      </c>
      <c r="P605" s="28">
        <v>0.82</v>
      </c>
      <c r="Q605" s="28">
        <v>8.11</v>
      </c>
      <c r="R605" s="26"/>
      <c r="S605" s="26"/>
      <c r="T605" s="26"/>
      <c r="U605" s="26"/>
    </row>
    <row r="606" spans="1:21" x14ac:dyDescent="0.3">
      <c r="A606" s="26"/>
      <c r="B606" s="29">
        <v>45219</v>
      </c>
      <c r="C606" s="28" t="s">
        <v>13</v>
      </c>
      <c r="D606" s="28" t="s">
        <v>66</v>
      </c>
      <c r="E606" s="28" t="s">
        <v>48</v>
      </c>
      <c r="F606" s="28" t="s">
        <v>36</v>
      </c>
      <c r="G606" s="28" t="s">
        <v>31</v>
      </c>
      <c r="H606" s="28" t="s">
        <v>88</v>
      </c>
      <c r="I606" s="28">
        <v>3650</v>
      </c>
      <c r="J606" s="28">
        <v>110000</v>
      </c>
      <c r="K606" s="28">
        <v>5500</v>
      </c>
      <c r="L606" s="28">
        <v>275</v>
      </c>
      <c r="M606" s="28">
        <v>0.05</v>
      </c>
      <c r="N606" s="28">
        <v>41250</v>
      </c>
      <c r="O606" s="28">
        <v>0.05</v>
      </c>
      <c r="P606" s="28">
        <v>0.66</v>
      </c>
      <c r="Q606" s="28">
        <v>10.3</v>
      </c>
      <c r="R606" s="26"/>
      <c r="S606" s="26"/>
      <c r="T606" s="26"/>
      <c r="U606" s="26"/>
    </row>
    <row r="607" spans="1:21" x14ac:dyDescent="0.3">
      <c r="A607" s="26"/>
      <c r="B607" s="29">
        <v>45226</v>
      </c>
      <c r="C607" s="28" t="s">
        <v>12</v>
      </c>
      <c r="D607" s="28" t="s">
        <v>78</v>
      </c>
      <c r="E607" s="28" t="s">
        <v>48</v>
      </c>
      <c r="F607" s="28" t="s">
        <v>38</v>
      </c>
      <c r="G607" s="28" t="s">
        <v>32</v>
      </c>
      <c r="H607" s="28" t="s">
        <v>88</v>
      </c>
      <c r="I607" s="28">
        <v>4550</v>
      </c>
      <c r="J607" s="28">
        <v>140000</v>
      </c>
      <c r="K607" s="28">
        <v>5600</v>
      </c>
      <c r="L607" s="28">
        <v>280</v>
      </c>
      <c r="M607" s="28">
        <v>0.05</v>
      </c>
      <c r="N607" s="28">
        <v>42000</v>
      </c>
      <c r="O607" s="28">
        <v>0.04</v>
      </c>
      <c r="P607" s="28">
        <v>0.81</v>
      </c>
      <c r="Q607" s="28">
        <v>8.23</v>
      </c>
      <c r="R607" s="26"/>
      <c r="S607" s="26"/>
      <c r="T607" s="26"/>
      <c r="U607" s="26"/>
    </row>
    <row r="608" spans="1:21" x14ac:dyDescent="0.3">
      <c r="A608" s="26"/>
      <c r="B608" s="29">
        <v>45233</v>
      </c>
      <c r="C608" s="28" t="s">
        <v>11</v>
      </c>
      <c r="D608" s="28" t="s">
        <v>69</v>
      </c>
      <c r="E608" s="28" t="s">
        <v>47</v>
      </c>
      <c r="F608" s="28" t="s">
        <v>40</v>
      </c>
      <c r="G608" s="28" t="s">
        <v>30</v>
      </c>
      <c r="H608" s="28" t="s">
        <v>88</v>
      </c>
      <c r="I608" s="28">
        <v>6400</v>
      </c>
      <c r="J608" s="28">
        <v>67000</v>
      </c>
      <c r="K608" s="28">
        <v>2010</v>
      </c>
      <c r="L608" s="28">
        <v>100</v>
      </c>
      <c r="M608" s="28">
        <v>0.05</v>
      </c>
      <c r="N608" s="28">
        <v>25125</v>
      </c>
      <c r="O608" s="28">
        <v>0.03</v>
      </c>
      <c r="P608" s="28">
        <v>3.18</v>
      </c>
      <c r="Q608" s="28">
        <v>2.93</v>
      </c>
      <c r="R608" s="26"/>
      <c r="S608" s="26"/>
      <c r="T608" s="26"/>
      <c r="U608" s="26"/>
    </row>
    <row r="609" spans="1:21" x14ac:dyDescent="0.3">
      <c r="A609" s="26"/>
      <c r="B609" s="29">
        <v>45240</v>
      </c>
      <c r="C609" s="28" t="s">
        <v>12</v>
      </c>
      <c r="D609" s="28" t="s">
        <v>79</v>
      </c>
      <c r="E609" s="28" t="s">
        <v>47</v>
      </c>
      <c r="F609" s="28" t="s">
        <v>36</v>
      </c>
      <c r="G609" s="28" t="s">
        <v>31</v>
      </c>
      <c r="H609" s="28" t="s">
        <v>88</v>
      </c>
      <c r="I609" s="28">
        <v>3750</v>
      </c>
      <c r="J609" s="28">
        <v>113000</v>
      </c>
      <c r="K609" s="28">
        <v>5650</v>
      </c>
      <c r="L609" s="28">
        <v>282</v>
      </c>
      <c r="M609" s="28">
        <v>0.05</v>
      </c>
      <c r="N609" s="28">
        <v>42375</v>
      </c>
      <c r="O609" s="28">
        <v>0.05</v>
      </c>
      <c r="P609" s="28">
        <v>0.66</v>
      </c>
      <c r="Q609" s="28">
        <v>10.3</v>
      </c>
      <c r="R609" s="26"/>
      <c r="S609" s="26"/>
      <c r="T609" s="26"/>
      <c r="U609" s="26"/>
    </row>
    <row r="610" spans="1:21" x14ac:dyDescent="0.3">
      <c r="A610" s="26"/>
      <c r="B610" s="29">
        <v>45247</v>
      </c>
      <c r="C610" s="28" t="s">
        <v>11</v>
      </c>
      <c r="D610" s="28" t="s">
        <v>79</v>
      </c>
      <c r="E610" s="28" t="s">
        <v>47</v>
      </c>
      <c r="F610" s="28" t="s">
        <v>34</v>
      </c>
      <c r="G610" s="28" t="s">
        <v>33</v>
      </c>
      <c r="H610" s="28" t="s">
        <v>88</v>
      </c>
      <c r="I610" s="28">
        <v>4150</v>
      </c>
      <c r="J610" s="28">
        <v>126000</v>
      </c>
      <c r="K610" s="28">
        <v>5040</v>
      </c>
      <c r="L610" s="28">
        <v>252</v>
      </c>
      <c r="M610" s="28">
        <v>0.05</v>
      </c>
      <c r="N610" s="28">
        <v>37800</v>
      </c>
      <c r="O610" s="28">
        <v>0.04</v>
      </c>
      <c r="P610" s="28">
        <v>0.82</v>
      </c>
      <c r="Q610" s="28">
        <v>8.11</v>
      </c>
      <c r="R610" s="26"/>
      <c r="S610" s="26"/>
      <c r="T610" s="26"/>
      <c r="U610" s="26"/>
    </row>
    <row r="611" spans="1:21" x14ac:dyDescent="0.3">
      <c r="A611" s="26"/>
      <c r="B611" s="29">
        <v>45254</v>
      </c>
      <c r="C611" s="28" t="s">
        <v>10</v>
      </c>
      <c r="D611" s="28" t="s">
        <v>81</v>
      </c>
      <c r="E611" s="28" t="s">
        <v>48</v>
      </c>
      <c r="F611" s="28" t="s">
        <v>45</v>
      </c>
      <c r="G611" s="28" t="s">
        <v>31</v>
      </c>
      <c r="H611" s="28" t="s">
        <v>88</v>
      </c>
      <c r="I611" s="28">
        <v>3850</v>
      </c>
      <c r="J611" s="28">
        <v>116000</v>
      </c>
      <c r="K611" s="28">
        <v>5800</v>
      </c>
      <c r="L611" s="28">
        <v>290</v>
      </c>
      <c r="M611" s="28">
        <v>0.05</v>
      </c>
      <c r="N611" s="28">
        <v>43500</v>
      </c>
      <c r="O611" s="28">
        <v>0.05</v>
      </c>
      <c r="P611" s="28">
        <v>0.66</v>
      </c>
      <c r="Q611" s="28">
        <v>10.3</v>
      </c>
      <c r="R611" s="26"/>
      <c r="S611" s="26"/>
      <c r="T611" s="26"/>
      <c r="U611" s="26"/>
    </row>
    <row r="612" spans="1:21" x14ac:dyDescent="0.3">
      <c r="A612" s="26"/>
      <c r="B612" s="29">
        <v>45261</v>
      </c>
      <c r="C612" s="28" t="s">
        <v>10</v>
      </c>
      <c r="D612" s="28" t="s">
        <v>75</v>
      </c>
      <c r="E612" s="28" t="s">
        <v>47</v>
      </c>
      <c r="F612" s="28" t="s">
        <v>45</v>
      </c>
      <c r="G612" s="28" t="s">
        <v>32</v>
      </c>
      <c r="H612" s="28" t="s">
        <v>88</v>
      </c>
      <c r="I612" s="28">
        <v>4650</v>
      </c>
      <c r="J612" s="28">
        <v>143000</v>
      </c>
      <c r="K612" s="28">
        <v>5720</v>
      </c>
      <c r="L612" s="28">
        <v>286</v>
      </c>
      <c r="M612" s="28">
        <v>0.05</v>
      </c>
      <c r="N612" s="28">
        <v>42900</v>
      </c>
      <c r="O612" s="28">
        <v>0.04</v>
      </c>
      <c r="P612" s="28">
        <v>0.81</v>
      </c>
      <c r="Q612" s="28">
        <v>8.23</v>
      </c>
      <c r="R612" s="26"/>
      <c r="S612" s="26"/>
      <c r="T612" s="26"/>
      <c r="U612" s="26"/>
    </row>
    <row r="613" spans="1:21" x14ac:dyDescent="0.3">
      <c r="A613" s="26"/>
      <c r="B613" s="29">
        <v>45268</v>
      </c>
      <c r="C613" s="28" t="s">
        <v>11</v>
      </c>
      <c r="D613" s="28" t="s">
        <v>73</v>
      </c>
      <c r="E613" s="28" t="s">
        <v>47</v>
      </c>
      <c r="F613" s="28" t="s">
        <v>44</v>
      </c>
      <c r="G613" s="28" t="s">
        <v>30</v>
      </c>
      <c r="H613" s="28" t="s">
        <v>88</v>
      </c>
      <c r="I613" s="28">
        <v>6500</v>
      </c>
      <c r="J613" s="28">
        <v>68000</v>
      </c>
      <c r="K613" s="28">
        <v>2040</v>
      </c>
      <c r="L613" s="28">
        <v>102</v>
      </c>
      <c r="M613" s="28">
        <v>0.05</v>
      </c>
      <c r="N613" s="28">
        <v>25500</v>
      </c>
      <c r="O613" s="28">
        <v>0.03</v>
      </c>
      <c r="P613" s="28">
        <v>3.19</v>
      </c>
      <c r="Q613" s="28">
        <v>2.92</v>
      </c>
      <c r="R613" s="26"/>
      <c r="S613" s="26"/>
      <c r="T613" s="26"/>
      <c r="U613" s="26"/>
    </row>
    <row r="614" spans="1:21" x14ac:dyDescent="0.3">
      <c r="A614" s="26"/>
      <c r="B614" s="29">
        <v>45275</v>
      </c>
      <c r="C614" s="28" t="s">
        <v>12</v>
      </c>
      <c r="D614" s="28" t="s">
        <v>77</v>
      </c>
      <c r="E614" s="28" t="s">
        <v>49</v>
      </c>
      <c r="F614" s="28" t="s">
        <v>43</v>
      </c>
      <c r="G614" s="28" t="s">
        <v>31</v>
      </c>
      <c r="H614" s="28" t="s">
        <v>88</v>
      </c>
      <c r="I614" s="28">
        <v>3950</v>
      </c>
      <c r="J614" s="28">
        <v>119000</v>
      </c>
      <c r="K614" s="28">
        <v>5950</v>
      </c>
      <c r="L614" s="28">
        <v>298</v>
      </c>
      <c r="M614" s="28">
        <v>0.05</v>
      </c>
      <c r="N614" s="28">
        <v>44625</v>
      </c>
      <c r="O614" s="28">
        <v>0.05</v>
      </c>
      <c r="P614" s="28">
        <v>0.66</v>
      </c>
      <c r="Q614" s="28">
        <v>10.3</v>
      </c>
      <c r="R614" s="26"/>
      <c r="S614" s="26"/>
      <c r="T614" s="26"/>
      <c r="U614" s="26"/>
    </row>
    <row r="615" spans="1:21" x14ac:dyDescent="0.3">
      <c r="A615" s="26"/>
      <c r="B615" s="29">
        <v>45282</v>
      </c>
      <c r="C615" s="28" t="s">
        <v>11</v>
      </c>
      <c r="D615" s="28" t="s">
        <v>66</v>
      </c>
      <c r="E615" s="28" t="s">
        <v>48</v>
      </c>
      <c r="F615" s="28" t="s">
        <v>40</v>
      </c>
      <c r="G615" s="28" t="s">
        <v>33</v>
      </c>
      <c r="H615" s="28" t="s">
        <v>88</v>
      </c>
      <c r="I615" s="28">
        <v>4250</v>
      </c>
      <c r="J615" s="28">
        <v>129000</v>
      </c>
      <c r="K615" s="28">
        <v>5160</v>
      </c>
      <c r="L615" s="28">
        <v>258</v>
      </c>
      <c r="M615" s="28">
        <v>0.05</v>
      </c>
      <c r="N615" s="28">
        <v>38700</v>
      </c>
      <c r="O615" s="28">
        <v>0.04</v>
      </c>
      <c r="P615" s="28">
        <v>0.82</v>
      </c>
      <c r="Q615" s="28">
        <v>8.11</v>
      </c>
      <c r="R615" s="26"/>
      <c r="S615" s="26"/>
      <c r="T615" s="26"/>
      <c r="U615" s="26"/>
    </row>
    <row r="616" spans="1:21" x14ac:dyDescent="0.3">
      <c r="A616" s="26"/>
      <c r="B616" s="29">
        <v>45289</v>
      </c>
      <c r="C616" s="28" t="s">
        <v>13</v>
      </c>
      <c r="D616" s="28" t="s">
        <v>76</v>
      </c>
      <c r="E616" s="28" t="s">
        <v>49</v>
      </c>
      <c r="F616" s="28" t="s">
        <v>40</v>
      </c>
      <c r="G616" s="28" t="s">
        <v>31</v>
      </c>
      <c r="H616" s="28" t="s">
        <v>88</v>
      </c>
      <c r="I616" s="28">
        <v>4050</v>
      </c>
      <c r="J616" s="28">
        <v>122000</v>
      </c>
      <c r="K616" s="28">
        <v>6100</v>
      </c>
      <c r="L616" s="28">
        <v>305</v>
      </c>
      <c r="M616" s="28">
        <v>0.05</v>
      </c>
      <c r="N616" s="28">
        <v>45750</v>
      </c>
      <c r="O616" s="28">
        <v>0.05</v>
      </c>
      <c r="P616" s="28">
        <v>0.66</v>
      </c>
      <c r="Q616" s="28">
        <v>10.3</v>
      </c>
      <c r="R616" s="26"/>
      <c r="S616" s="26"/>
      <c r="T616" s="26"/>
      <c r="U616" s="26"/>
    </row>
    <row r="617" spans="1:21" x14ac:dyDescent="0.3">
      <c r="A617" s="26"/>
      <c r="B617" s="29">
        <v>45296</v>
      </c>
      <c r="C617" s="28" t="s">
        <v>13</v>
      </c>
      <c r="D617" s="28" t="s">
        <v>84</v>
      </c>
      <c r="E617" s="28" t="s">
        <v>48</v>
      </c>
      <c r="F617" s="28" t="s">
        <v>40</v>
      </c>
      <c r="G617" s="28" t="s">
        <v>32</v>
      </c>
      <c r="H617" s="28" t="s">
        <v>85</v>
      </c>
      <c r="I617" s="28">
        <v>4750</v>
      </c>
      <c r="J617" s="28">
        <v>146000</v>
      </c>
      <c r="K617" s="28">
        <v>5840</v>
      </c>
      <c r="L617" s="28">
        <v>292</v>
      </c>
      <c r="M617" s="28">
        <v>0.05</v>
      </c>
      <c r="N617" s="28">
        <v>43800</v>
      </c>
      <c r="O617" s="28">
        <v>0.04</v>
      </c>
      <c r="P617" s="28">
        <v>0.81</v>
      </c>
      <c r="Q617" s="28">
        <v>8.2200000000000006</v>
      </c>
      <c r="R617" s="26"/>
      <c r="S617" s="26"/>
      <c r="T617" s="26"/>
      <c r="U617" s="26"/>
    </row>
    <row r="618" spans="1:21" x14ac:dyDescent="0.3">
      <c r="A618" s="26"/>
      <c r="B618" s="29">
        <v>45303</v>
      </c>
      <c r="C618" s="28" t="s">
        <v>11</v>
      </c>
      <c r="D618" s="28" t="s">
        <v>69</v>
      </c>
      <c r="E618" s="28" t="s">
        <v>47</v>
      </c>
      <c r="F618" s="28" t="s">
        <v>37</v>
      </c>
      <c r="G618" s="28" t="s">
        <v>30</v>
      </c>
      <c r="H618" s="28" t="s">
        <v>85</v>
      </c>
      <c r="I618" s="28">
        <v>6600</v>
      </c>
      <c r="J618" s="28">
        <v>69000</v>
      </c>
      <c r="K618" s="28">
        <v>2070</v>
      </c>
      <c r="L618" s="28">
        <v>104</v>
      </c>
      <c r="M618" s="28">
        <v>0.05</v>
      </c>
      <c r="N618" s="28">
        <v>25875</v>
      </c>
      <c r="O618" s="28">
        <v>0.03</v>
      </c>
      <c r="P618" s="28">
        <v>3.19</v>
      </c>
      <c r="Q618" s="28">
        <v>2.92</v>
      </c>
      <c r="R618" s="26"/>
      <c r="S618" s="26"/>
      <c r="T618" s="26"/>
      <c r="U618" s="26"/>
    </row>
    <row r="619" spans="1:21" x14ac:dyDescent="0.3">
      <c r="A619" s="26"/>
      <c r="B619" s="29">
        <v>45310</v>
      </c>
      <c r="C619" s="28" t="s">
        <v>11</v>
      </c>
      <c r="D619" s="28" t="s">
        <v>80</v>
      </c>
      <c r="E619" s="28" t="s">
        <v>48</v>
      </c>
      <c r="F619" s="28" t="s">
        <v>45</v>
      </c>
      <c r="G619" s="28" t="s">
        <v>31</v>
      </c>
      <c r="H619" s="28" t="s">
        <v>85</v>
      </c>
      <c r="I619" s="28">
        <v>4150</v>
      </c>
      <c r="J619" s="28">
        <v>125000</v>
      </c>
      <c r="K619" s="28">
        <v>6250</v>
      </c>
      <c r="L619" s="28">
        <v>312</v>
      </c>
      <c r="M619" s="28">
        <v>0.05</v>
      </c>
      <c r="N619" s="28">
        <v>46875</v>
      </c>
      <c r="O619" s="28">
        <v>0.05</v>
      </c>
      <c r="P619" s="28">
        <v>0.66</v>
      </c>
      <c r="Q619" s="28">
        <v>10.3</v>
      </c>
      <c r="R619" s="26"/>
      <c r="S619" s="26"/>
      <c r="T619" s="26"/>
      <c r="U619" s="26"/>
    </row>
    <row r="620" spans="1:21" x14ac:dyDescent="0.3">
      <c r="A620" s="26"/>
      <c r="B620" s="29">
        <v>45317</v>
      </c>
      <c r="C620" s="28" t="s">
        <v>13</v>
      </c>
      <c r="D620" s="28" t="s">
        <v>73</v>
      </c>
      <c r="E620" s="28" t="s">
        <v>47</v>
      </c>
      <c r="F620" s="28" t="s">
        <v>45</v>
      </c>
      <c r="G620" s="28" t="s">
        <v>33</v>
      </c>
      <c r="H620" s="28" t="s">
        <v>85</v>
      </c>
      <c r="I620" s="28">
        <v>4350</v>
      </c>
      <c r="J620" s="28">
        <v>132000</v>
      </c>
      <c r="K620" s="28">
        <v>5280</v>
      </c>
      <c r="L620" s="28">
        <v>264</v>
      </c>
      <c r="M620" s="28">
        <v>0.05</v>
      </c>
      <c r="N620" s="28">
        <v>39600</v>
      </c>
      <c r="O620" s="28">
        <v>0.04</v>
      </c>
      <c r="P620" s="28">
        <v>0.82</v>
      </c>
      <c r="Q620" s="28">
        <v>8.1</v>
      </c>
      <c r="R620" s="26"/>
      <c r="S620" s="26"/>
      <c r="T620" s="26"/>
      <c r="U620" s="26"/>
    </row>
    <row r="621" spans="1:21" x14ac:dyDescent="0.3">
      <c r="A621" s="26"/>
      <c r="B621" s="29">
        <v>45324</v>
      </c>
      <c r="C621" s="28" t="s">
        <v>11</v>
      </c>
      <c r="D621" s="28" t="s">
        <v>79</v>
      </c>
      <c r="E621" s="28" t="s">
        <v>47</v>
      </c>
      <c r="F621" s="28" t="s">
        <v>44</v>
      </c>
      <c r="G621" s="28" t="s">
        <v>31</v>
      </c>
      <c r="H621" s="28" t="s">
        <v>85</v>
      </c>
      <c r="I621" s="28">
        <v>4250</v>
      </c>
      <c r="J621" s="28">
        <v>128000</v>
      </c>
      <c r="K621" s="28">
        <v>6400</v>
      </c>
      <c r="L621" s="28">
        <v>320</v>
      </c>
      <c r="M621" s="28">
        <v>0.05</v>
      </c>
      <c r="N621" s="28">
        <v>48000</v>
      </c>
      <c r="O621" s="28">
        <v>0.05</v>
      </c>
      <c r="P621" s="28">
        <v>0.66</v>
      </c>
      <c r="Q621" s="28">
        <v>10.29</v>
      </c>
      <c r="R621" s="26"/>
      <c r="S621" s="26"/>
      <c r="T621" s="26"/>
      <c r="U621" s="26"/>
    </row>
    <row r="622" spans="1:21" x14ac:dyDescent="0.3">
      <c r="A622" s="26"/>
      <c r="B622" s="29">
        <v>45331</v>
      </c>
      <c r="C622" s="28" t="s">
        <v>12</v>
      </c>
      <c r="D622" s="28" t="s">
        <v>82</v>
      </c>
      <c r="E622" s="28" t="s">
        <v>47</v>
      </c>
      <c r="F622" s="28" t="s">
        <v>41</v>
      </c>
      <c r="G622" s="28" t="s">
        <v>32</v>
      </c>
      <c r="H622" s="28" t="s">
        <v>85</v>
      </c>
      <c r="I622" s="28">
        <v>4850</v>
      </c>
      <c r="J622" s="28">
        <v>149000</v>
      </c>
      <c r="K622" s="28">
        <v>5960</v>
      </c>
      <c r="L622" s="28">
        <v>298</v>
      </c>
      <c r="M622" s="28">
        <v>0.05</v>
      </c>
      <c r="N622" s="28">
        <v>44700</v>
      </c>
      <c r="O622" s="28">
        <v>0.04</v>
      </c>
      <c r="P622" s="28">
        <v>0.81</v>
      </c>
      <c r="Q622" s="28">
        <v>8.2200000000000006</v>
      </c>
      <c r="R622" s="26"/>
      <c r="S622" s="26"/>
      <c r="T622" s="26"/>
      <c r="U622" s="26"/>
    </row>
    <row r="623" spans="1:21" x14ac:dyDescent="0.3">
      <c r="A623" s="26"/>
      <c r="B623" s="29">
        <v>45338</v>
      </c>
      <c r="C623" s="28" t="s">
        <v>12</v>
      </c>
      <c r="D623" s="28" t="s">
        <v>68</v>
      </c>
      <c r="E623" s="28" t="s">
        <v>47</v>
      </c>
      <c r="F623" s="28" t="s">
        <v>41</v>
      </c>
      <c r="G623" s="28" t="s">
        <v>30</v>
      </c>
      <c r="H623" s="28" t="s">
        <v>85</v>
      </c>
      <c r="I623" s="28">
        <v>6700</v>
      </c>
      <c r="J623" s="28">
        <v>70000</v>
      </c>
      <c r="K623" s="28">
        <v>2100</v>
      </c>
      <c r="L623" s="28">
        <v>105</v>
      </c>
      <c r="M623" s="28">
        <v>0.05</v>
      </c>
      <c r="N623" s="28">
        <v>26250</v>
      </c>
      <c r="O623" s="28">
        <v>0.03</v>
      </c>
      <c r="P623" s="28">
        <v>3.19</v>
      </c>
      <c r="Q623" s="28">
        <v>2.92</v>
      </c>
      <c r="R623" s="26"/>
      <c r="S623" s="26"/>
      <c r="T623" s="26"/>
      <c r="U623" s="26"/>
    </row>
    <row r="624" spans="1:21" x14ac:dyDescent="0.3">
      <c r="A624" s="26"/>
      <c r="B624" s="29">
        <v>45345</v>
      </c>
      <c r="C624" s="28" t="s">
        <v>11</v>
      </c>
      <c r="D624" s="28" t="s">
        <v>83</v>
      </c>
      <c r="E624" s="28" t="s">
        <v>49</v>
      </c>
      <c r="F624" s="28" t="s">
        <v>34</v>
      </c>
      <c r="G624" s="28" t="s">
        <v>31</v>
      </c>
      <c r="H624" s="28" t="s">
        <v>85</v>
      </c>
      <c r="I624" s="28">
        <v>4350</v>
      </c>
      <c r="J624" s="28">
        <v>131000</v>
      </c>
      <c r="K624" s="28">
        <v>6550</v>
      </c>
      <c r="L624" s="28">
        <v>328</v>
      </c>
      <c r="M624" s="28">
        <v>0.05</v>
      </c>
      <c r="N624" s="28">
        <v>49125</v>
      </c>
      <c r="O624" s="28">
        <v>0.05</v>
      </c>
      <c r="P624" s="28">
        <v>0.66</v>
      </c>
      <c r="Q624" s="28">
        <v>10.29</v>
      </c>
      <c r="R624" s="26"/>
      <c r="S624" s="26"/>
      <c r="T624" s="26"/>
      <c r="U624" s="26"/>
    </row>
    <row r="625" spans="1:21" x14ac:dyDescent="0.3">
      <c r="A625" s="26"/>
      <c r="B625" s="29">
        <v>45352</v>
      </c>
      <c r="C625" s="28" t="s">
        <v>12</v>
      </c>
      <c r="D625" s="28" t="s">
        <v>84</v>
      </c>
      <c r="E625" s="28" t="s">
        <v>48</v>
      </c>
      <c r="F625" s="28" t="s">
        <v>36</v>
      </c>
      <c r="G625" s="28" t="s">
        <v>33</v>
      </c>
      <c r="H625" s="28" t="s">
        <v>85</v>
      </c>
      <c r="I625" s="28">
        <v>4450</v>
      </c>
      <c r="J625" s="28">
        <v>135000</v>
      </c>
      <c r="K625" s="28">
        <v>5400</v>
      </c>
      <c r="L625" s="28">
        <v>270</v>
      </c>
      <c r="M625" s="28">
        <v>0.05</v>
      </c>
      <c r="N625" s="28">
        <v>40500</v>
      </c>
      <c r="O625" s="28">
        <v>0.04</v>
      </c>
      <c r="P625" s="28">
        <v>0.82</v>
      </c>
      <c r="Q625" s="28">
        <v>8.1</v>
      </c>
      <c r="R625" s="26"/>
      <c r="S625" s="26"/>
      <c r="T625" s="26"/>
      <c r="U625" s="26"/>
    </row>
    <row r="626" spans="1:21" x14ac:dyDescent="0.3">
      <c r="A626" s="26"/>
      <c r="B626" s="29">
        <v>45359</v>
      </c>
      <c r="C626" s="28" t="s">
        <v>12</v>
      </c>
      <c r="D626" s="28" t="s">
        <v>81</v>
      </c>
      <c r="E626" s="28" t="s">
        <v>48</v>
      </c>
      <c r="F626" s="28" t="s">
        <v>40</v>
      </c>
      <c r="G626" s="28" t="s">
        <v>31</v>
      </c>
      <c r="H626" s="28" t="s">
        <v>85</v>
      </c>
      <c r="I626" s="28">
        <v>4450</v>
      </c>
      <c r="J626" s="28">
        <v>134000</v>
      </c>
      <c r="K626" s="28">
        <v>6700</v>
      </c>
      <c r="L626" s="28">
        <v>335</v>
      </c>
      <c r="M626" s="28">
        <v>0.05</v>
      </c>
      <c r="N626" s="28">
        <v>50250</v>
      </c>
      <c r="O626" s="28">
        <v>0.05</v>
      </c>
      <c r="P626" s="28">
        <v>0.66</v>
      </c>
      <c r="Q626" s="28">
        <v>10.29</v>
      </c>
      <c r="R626" s="26"/>
      <c r="S626" s="26"/>
      <c r="T626" s="26"/>
      <c r="U626" s="26"/>
    </row>
    <row r="627" spans="1:21" x14ac:dyDescent="0.3">
      <c r="A627" s="26"/>
      <c r="B627" s="29">
        <v>45366</v>
      </c>
      <c r="C627" s="28" t="s">
        <v>12</v>
      </c>
      <c r="D627" s="28" t="s">
        <v>66</v>
      </c>
      <c r="E627" s="28" t="s">
        <v>48</v>
      </c>
      <c r="F627" s="28" t="s">
        <v>45</v>
      </c>
      <c r="G627" s="28" t="s">
        <v>32</v>
      </c>
      <c r="H627" s="28" t="s">
        <v>86</v>
      </c>
      <c r="I627" s="28">
        <v>4950</v>
      </c>
      <c r="J627" s="28">
        <v>152000</v>
      </c>
      <c r="K627" s="28">
        <v>6080</v>
      </c>
      <c r="L627" s="28">
        <v>304</v>
      </c>
      <c r="M627" s="28">
        <v>0.05</v>
      </c>
      <c r="N627" s="28">
        <v>45600</v>
      </c>
      <c r="O627" s="28">
        <v>0.04</v>
      </c>
      <c r="P627" s="28">
        <v>0.81</v>
      </c>
      <c r="Q627" s="28">
        <v>8.2100000000000009</v>
      </c>
      <c r="R627" s="26"/>
      <c r="S627" s="26"/>
      <c r="T627" s="26"/>
      <c r="U627" s="26"/>
    </row>
    <row r="628" spans="1:21" x14ac:dyDescent="0.3">
      <c r="A628" s="26"/>
      <c r="B628" s="29">
        <v>45373</v>
      </c>
      <c r="C628" s="28" t="s">
        <v>13</v>
      </c>
      <c r="D628" s="28" t="s">
        <v>82</v>
      </c>
      <c r="E628" s="28" t="s">
        <v>47</v>
      </c>
      <c r="F628" s="28" t="s">
        <v>37</v>
      </c>
      <c r="G628" s="28" t="s">
        <v>30</v>
      </c>
      <c r="H628" s="28" t="s">
        <v>86</v>
      </c>
      <c r="I628" s="28">
        <v>6800</v>
      </c>
      <c r="J628" s="28">
        <v>71000</v>
      </c>
      <c r="K628" s="28">
        <v>2130</v>
      </c>
      <c r="L628" s="28">
        <v>106</v>
      </c>
      <c r="M628" s="28">
        <v>0.05</v>
      </c>
      <c r="N628" s="28">
        <v>26625</v>
      </c>
      <c r="O628" s="28">
        <v>0.03</v>
      </c>
      <c r="P628" s="28">
        <v>3.19</v>
      </c>
      <c r="Q628" s="28">
        <v>2.92</v>
      </c>
      <c r="R628" s="26"/>
      <c r="S628" s="26"/>
      <c r="T628" s="26"/>
      <c r="U628" s="26"/>
    </row>
    <row r="629" spans="1:21" x14ac:dyDescent="0.3">
      <c r="A629" s="26"/>
      <c r="B629" s="29">
        <v>45380</v>
      </c>
      <c r="C629" s="28" t="s">
        <v>13</v>
      </c>
      <c r="D629" s="28" t="s">
        <v>82</v>
      </c>
      <c r="E629" s="28" t="s">
        <v>47</v>
      </c>
      <c r="F629" s="28" t="s">
        <v>41</v>
      </c>
      <c r="G629" s="28" t="s">
        <v>31</v>
      </c>
      <c r="H629" s="28" t="s">
        <v>86</v>
      </c>
      <c r="I629" s="28">
        <v>4550</v>
      </c>
      <c r="J629" s="28">
        <v>137000</v>
      </c>
      <c r="K629" s="28">
        <v>6850</v>
      </c>
      <c r="L629" s="28">
        <v>342</v>
      </c>
      <c r="M629" s="28">
        <v>0.05</v>
      </c>
      <c r="N629" s="28">
        <v>51375</v>
      </c>
      <c r="O629" s="28">
        <v>0.05</v>
      </c>
      <c r="P629" s="28">
        <v>0.66</v>
      </c>
      <c r="Q629" s="28">
        <v>10.29</v>
      </c>
      <c r="R629" s="26"/>
      <c r="S629" s="26"/>
      <c r="T629" s="26"/>
      <c r="U629" s="26"/>
    </row>
    <row r="630" spans="1:21" x14ac:dyDescent="0.3">
      <c r="A630" s="26"/>
      <c r="B630" s="29">
        <v>45387</v>
      </c>
      <c r="C630" s="28" t="s">
        <v>10</v>
      </c>
      <c r="D630" s="28" t="s">
        <v>82</v>
      </c>
      <c r="E630" s="28" t="s">
        <v>47</v>
      </c>
      <c r="F630" s="28" t="s">
        <v>41</v>
      </c>
      <c r="G630" s="28" t="s">
        <v>33</v>
      </c>
      <c r="H630" s="28" t="s">
        <v>86</v>
      </c>
      <c r="I630" s="28">
        <v>4550</v>
      </c>
      <c r="J630" s="28">
        <v>138000</v>
      </c>
      <c r="K630" s="28">
        <v>5520</v>
      </c>
      <c r="L630" s="28">
        <v>276</v>
      </c>
      <c r="M630" s="28">
        <v>0.05</v>
      </c>
      <c r="N630" s="28">
        <v>41400</v>
      </c>
      <c r="O630" s="28">
        <v>0.04</v>
      </c>
      <c r="P630" s="28">
        <v>0.82</v>
      </c>
      <c r="Q630" s="28">
        <v>8.1</v>
      </c>
      <c r="R630" s="26"/>
      <c r="S630" s="26"/>
      <c r="T630" s="26"/>
      <c r="U630" s="26"/>
    </row>
    <row r="631" spans="1:21" x14ac:dyDescent="0.3">
      <c r="A631" s="26"/>
      <c r="B631" s="29">
        <v>45394</v>
      </c>
      <c r="C631" s="28" t="s">
        <v>10</v>
      </c>
      <c r="D631" s="28" t="s">
        <v>84</v>
      </c>
      <c r="E631" s="28" t="s">
        <v>48</v>
      </c>
      <c r="F631" s="28" t="s">
        <v>45</v>
      </c>
      <c r="G631" s="28" t="s">
        <v>31</v>
      </c>
      <c r="H631" s="28" t="s">
        <v>86</v>
      </c>
      <c r="I631" s="28">
        <v>4650</v>
      </c>
      <c r="J631" s="28">
        <v>140000</v>
      </c>
      <c r="K631" s="28">
        <v>7000</v>
      </c>
      <c r="L631" s="28">
        <v>350</v>
      </c>
      <c r="M631" s="28">
        <v>0.05</v>
      </c>
      <c r="N631" s="28">
        <v>52500</v>
      </c>
      <c r="O631" s="28">
        <v>0.05</v>
      </c>
      <c r="P631" s="28">
        <v>0.66</v>
      </c>
      <c r="Q631" s="28">
        <v>10.29</v>
      </c>
      <c r="R631" s="26"/>
      <c r="S631" s="26"/>
      <c r="T631" s="26"/>
      <c r="U631" s="26"/>
    </row>
    <row r="632" spans="1:21" x14ac:dyDescent="0.3">
      <c r="A632" s="26"/>
      <c r="B632" s="29">
        <v>45401</v>
      </c>
      <c r="C632" s="28" t="s">
        <v>12</v>
      </c>
      <c r="D632" s="28" t="s">
        <v>75</v>
      </c>
      <c r="E632" s="28" t="s">
        <v>47</v>
      </c>
      <c r="F632" s="28" t="s">
        <v>44</v>
      </c>
      <c r="G632" s="28" t="s">
        <v>32</v>
      </c>
      <c r="H632" s="28" t="s">
        <v>86</v>
      </c>
      <c r="I632" s="28">
        <v>5050</v>
      </c>
      <c r="J632" s="28">
        <v>155000</v>
      </c>
      <c r="K632" s="28">
        <v>6200</v>
      </c>
      <c r="L632" s="28">
        <v>310</v>
      </c>
      <c r="M632" s="28">
        <v>0.05</v>
      </c>
      <c r="N632" s="28">
        <v>46500</v>
      </c>
      <c r="O632" s="28">
        <v>0.04</v>
      </c>
      <c r="P632" s="28">
        <v>0.81</v>
      </c>
      <c r="Q632" s="28">
        <v>8.2100000000000009</v>
      </c>
      <c r="R632" s="26"/>
      <c r="S632" s="26"/>
      <c r="T632" s="26"/>
      <c r="U632" s="26"/>
    </row>
    <row r="633" spans="1:21" x14ac:dyDescent="0.3">
      <c r="A633" s="26"/>
      <c r="B633" s="29">
        <v>45408</v>
      </c>
      <c r="C633" s="28" t="s">
        <v>12</v>
      </c>
      <c r="D633" s="28" t="s">
        <v>80</v>
      </c>
      <c r="E633" s="28" t="s">
        <v>48</v>
      </c>
      <c r="F633" s="28" t="s">
        <v>45</v>
      </c>
      <c r="G633" s="28" t="s">
        <v>30</v>
      </c>
      <c r="H633" s="28" t="s">
        <v>86</v>
      </c>
      <c r="I633" s="28">
        <v>6900</v>
      </c>
      <c r="J633" s="28">
        <v>72000</v>
      </c>
      <c r="K633" s="28">
        <v>2160</v>
      </c>
      <c r="L633" s="28">
        <v>108</v>
      </c>
      <c r="M633" s="28">
        <v>0.05</v>
      </c>
      <c r="N633" s="28">
        <v>27000</v>
      </c>
      <c r="O633" s="28">
        <v>0.03</v>
      </c>
      <c r="P633" s="28">
        <v>3.19</v>
      </c>
      <c r="Q633" s="28">
        <v>2.91</v>
      </c>
      <c r="R633" s="26"/>
      <c r="S633" s="26"/>
      <c r="T633" s="26"/>
      <c r="U633" s="26"/>
    </row>
    <row r="634" spans="1:21" x14ac:dyDescent="0.3">
      <c r="A634" s="26"/>
      <c r="B634" s="29">
        <v>45415</v>
      </c>
      <c r="C634" s="28" t="s">
        <v>11</v>
      </c>
      <c r="D634" s="28" t="s">
        <v>73</v>
      </c>
      <c r="E634" s="28" t="s">
        <v>47</v>
      </c>
      <c r="F634" s="28" t="s">
        <v>45</v>
      </c>
      <c r="G634" s="28" t="s">
        <v>31</v>
      </c>
      <c r="H634" s="28" t="s">
        <v>86</v>
      </c>
      <c r="I634" s="28">
        <v>4750</v>
      </c>
      <c r="J634" s="28">
        <v>143000</v>
      </c>
      <c r="K634" s="28">
        <v>7150</v>
      </c>
      <c r="L634" s="28">
        <v>358</v>
      </c>
      <c r="M634" s="28">
        <v>0.05</v>
      </c>
      <c r="N634" s="28">
        <v>53625</v>
      </c>
      <c r="O634" s="28">
        <v>0.05</v>
      </c>
      <c r="P634" s="28">
        <v>0.66</v>
      </c>
      <c r="Q634" s="28">
        <v>10.29</v>
      </c>
      <c r="R634" s="26"/>
      <c r="S634" s="26"/>
      <c r="T634" s="26"/>
      <c r="U634" s="26"/>
    </row>
    <row r="635" spans="1:21" x14ac:dyDescent="0.3">
      <c r="A635" s="26"/>
      <c r="B635" s="29">
        <v>45422</v>
      </c>
      <c r="C635" s="28" t="s">
        <v>12</v>
      </c>
      <c r="D635" s="28" t="s">
        <v>71</v>
      </c>
      <c r="E635" s="28" t="s">
        <v>48</v>
      </c>
      <c r="F635" s="28" t="s">
        <v>36</v>
      </c>
      <c r="G635" s="28" t="s">
        <v>33</v>
      </c>
      <c r="H635" s="28" t="s">
        <v>86</v>
      </c>
      <c r="I635" s="28">
        <v>4650</v>
      </c>
      <c r="J635" s="28">
        <v>141000</v>
      </c>
      <c r="K635" s="28">
        <v>5640</v>
      </c>
      <c r="L635" s="28">
        <v>282</v>
      </c>
      <c r="M635" s="28">
        <v>0.05</v>
      </c>
      <c r="N635" s="28">
        <v>42300</v>
      </c>
      <c r="O635" s="28">
        <v>0.04</v>
      </c>
      <c r="P635" s="28">
        <v>0.82</v>
      </c>
      <c r="Q635" s="28">
        <v>8.1</v>
      </c>
      <c r="R635" s="26"/>
      <c r="S635" s="26"/>
      <c r="T635" s="26"/>
      <c r="U635" s="26"/>
    </row>
    <row r="636" spans="1:21" x14ac:dyDescent="0.3">
      <c r="A636" s="26"/>
      <c r="B636" s="29">
        <v>45429</v>
      </c>
      <c r="C636" s="28" t="s">
        <v>11</v>
      </c>
      <c r="D636" s="28" t="s">
        <v>65</v>
      </c>
      <c r="E636" s="28" t="s">
        <v>47</v>
      </c>
      <c r="F636" s="28" t="s">
        <v>40</v>
      </c>
      <c r="G636" s="28" t="s">
        <v>31</v>
      </c>
      <c r="H636" s="28" t="s">
        <v>86</v>
      </c>
      <c r="I636" s="28">
        <v>4850</v>
      </c>
      <c r="J636" s="28">
        <v>146000</v>
      </c>
      <c r="K636" s="28">
        <v>7300</v>
      </c>
      <c r="L636" s="28">
        <v>365</v>
      </c>
      <c r="M636" s="28">
        <v>0.05</v>
      </c>
      <c r="N636" s="28">
        <v>54750</v>
      </c>
      <c r="O636" s="28">
        <v>0.05</v>
      </c>
      <c r="P636" s="28">
        <v>0.66</v>
      </c>
      <c r="Q636" s="28">
        <v>10.29</v>
      </c>
      <c r="R636" s="26"/>
      <c r="S636" s="26"/>
      <c r="T636" s="26"/>
      <c r="U636" s="26"/>
    </row>
    <row r="637" spans="1:21" x14ac:dyDescent="0.3">
      <c r="A637" s="26"/>
      <c r="B637" s="29">
        <v>45436</v>
      </c>
      <c r="C637" s="28" t="s">
        <v>11</v>
      </c>
      <c r="D637" s="28" t="s">
        <v>84</v>
      </c>
      <c r="E637" s="28" t="s">
        <v>48</v>
      </c>
      <c r="F637" s="28" t="s">
        <v>44</v>
      </c>
      <c r="G637" s="28" t="s">
        <v>32</v>
      </c>
      <c r="H637" s="28" t="s">
        <v>86</v>
      </c>
      <c r="I637" s="28">
        <v>5150</v>
      </c>
      <c r="J637" s="28">
        <v>158000</v>
      </c>
      <c r="K637" s="28">
        <v>6320</v>
      </c>
      <c r="L637" s="28">
        <v>316</v>
      </c>
      <c r="M637" s="28">
        <v>0.05</v>
      </c>
      <c r="N637" s="28">
        <v>47400</v>
      </c>
      <c r="O637" s="28">
        <v>0.04</v>
      </c>
      <c r="P637" s="28">
        <v>0.81</v>
      </c>
      <c r="Q637" s="28">
        <v>8.1999999999999993</v>
      </c>
      <c r="R637" s="26"/>
      <c r="S637" s="26"/>
      <c r="T637" s="26"/>
      <c r="U637" s="26"/>
    </row>
    <row r="638" spans="1:21" x14ac:dyDescent="0.3">
      <c r="A638" s="26"/>
      <c r="B638" s="29">
        <v>45443</v>
      </c>
      <c r="C638" s="28" t="s">
        <v>11</v>
      </c>
      <c r="D638" s="28" t="s">
        <v>65</v>
      </c>
      <c r="E638" s="28" t="s">
        <v>47</v>
      </c>
      <c r="F638" s="28" t="s">
        <v>40</v>
      </c>
      <c r="G638" s="28" t="s">
        <v>30</v>
      </c>
      <c r="H638" s="28" t="s">
        <v>86</v>
      </c>
      <c r="I638" s="28">
        <v>7000</v>
      </c>
      <c r="J638" s="28">
        <v>73000</v>
      </c>
      <c r="K638" s="28">
        <v>2190</v>
      </c>
      <c r="L638" s="28">
        <v>110</v>
      </c>
      <c r="M638" s="28">
        <v>0.05</v>
      </c>
      <c r="N638" s="28">
        <v>27375</v>
      </c>
      <c r="O638" s="28">
        <v>0.03</v>
      </c>
      <c r="P638" s="28">
        <v>3.2</v>
      </c>
      <c r="Q638" s="28">
        <v>2.91</v>
      </c>
      <c r="R638" s="26"/>
      <c r="S638" s="26"/>
      <c r="T638" s="26"/>
      <c r="U638" s="26"/>
    </row>
    <row r="639" spans="1:21" x14ac:dyDescent="0.3">
      <c r="A639" s="26"/>
      <c r="B639" s="29">
        <v>45450</v>
      </c>
      <c r="C639" s="28" t="s">
        <v>11</v>
      </c>
      <c r="D639" s="28" t="s">
        <v>84</v>
      </c>
      <c r="E639" s="28" t="s">
        <v>48</v>
      </c>
      <c r="F639" s="28" t="s">
        <v>41</v>
      </c>
      <c r="G639" s="28" t="s">
        <v>31</v>
      </c>
      <c r="H639" s="28" t="s">
        <v>86</v>
      </c>
      <c r="I639" s="28">
        <v>4950</v>
      </c>
      <c r="J639" s="28">
        <v>149000</v>
      </c>
      <c r="K639" s="28">
        <v>7450</v>
      </c>
      <c r="L639" s="28">
        <v>372</v>
      </c>
      <c r="M639" s="28">
        <v>0.05</v>
      </c>
      <c r="N639" s="28">
        <v>55875</v>
      </c>
      <c r="O639" s="28">
        <v>0.05</v>
      </c>
      <c r="P639" s="28">
        <v>0.66</v>
      </c>
      <c r="Q639" s="28">
        <v>10.29</v>
      </c>
      <c r="R639" s="26"/>
      <c r="S639" s="26"/>
      <c r="T639" s="26"/>
      <c r="U639" s="26"/>
    </row>
    <row r="640" spans="1:21" x14ac:dyDescent="0.3">
      <c r="A640" s="26"/>
      <c r="B640" s="29">
        <v>45457</v>
      </c>
      <c r="C640" s="28" t="s">
        <v>10</v>
      </c>
      <c r="D640" s="28" t="s">
        <v>66</v>
      </c>
      <c r="E640" s="28" t="s">
        <v>48</v>
      </c>
      <c r="F640" s="28" t="s">
        <v>41</v>
      </c>
      <c r="G640" s="28" t="s">
        <v>33</v>
      </c>
      <c r="H640" s="28" t="s">
        <v>86</v>
      </c>
      <c r="I640" s="28">
        <v>4750</v>
      </c>
      <c r="J640" s="28">
        <v>144000</v>
      </c>
      <c r="K640" s="28">
        <v>5760</v>
      </c>
      <c r="L640" s="28">
        <v>288</v>
      </c>
      <c r="M640" s="28">
        <v>0.05</v>
      </c>
      <c r="N640" s="28">
        <v>43200</v>
      </c>
      <c r="O640" s="28">
        <v>0.04</v>
      </c>
      <c r="P640" s="28">
        <v>0.82</v>
      </c>
      <c r="Q640" s="28">
        <v>8.09</v>
      </c>
      <c r="R640" s="26"/>
      <c r="S640" s="26"/>
      <c r="T640" s="26"/>
      <c r="U640" s="26"/>
    </row>
    <row r="641" spans="1:21" x14ac:dyDescent="0.3">
      <c r="A641" s="26"/>
      <c r="B641" s="29">
        <v>45464</v>
      </c>
      <c r="C641" s="28" t="s">
        <v>11</v>
      </c>
      <c r="D641" s="28" t="s">
        <v>82</v>
      </c>
      <c r="E641" s="28" t="s">
        <v>47</v>
      </c>
      <c r="F641" s="28" t="s">
        <v>45</v>
      </c>
      <c r="G641" s="28" t="s">
        <v>31</v>
      </c>
      <c r="H641" s="28" t="s">
        <v>86</v>
      </c>
      <c r="I641" s="28">
        <v>5050</v>
      </c>
      <c r="J641" s="28">
        <v>152000</v>
      </c>
      <c r="K641" s="28">
        <v>7600</v>
      </c>
      <c r="L641" s="28">
        <v>380</v>
      </c>
      <c r="M641" s="28">
        <v>0.05</v>
      </c>
      <c r="N641" s="28">
        <v>57000</v>
      </c>
      <c r="O641" s="28">
        <v>0.05</v>
      </c>
      <c r="P641" s="28">
        <v>0.66</v>
      </c>
      <c r="Q641" s="28">
        <v>10.29</v>
      </c>
      <c r="R641" s="26"/>
      <c r="S641" s="26"/>
      <c r="T641" s="26"/>
      <c r="U641" s="26"/>
    </row>
    <row r="642" spans="1:21" x14ac:dyDescent="0.3">
      <c r="A642" s="26"/>
      <c r="B642" s="29">
        <v>45471</v>
      </c>
      <c r="C642" s="28" t="s">
        <v>11</v>
      </c>
      <c r="D642" s="28" t="s">
        <v>75</v>
      </c>
      <c r="E642" s="28" t="s">
        <v>47</v>
      </c>
      <c r="F642" s="28" t="s">
        <v>34</v>
      </c>
      <c r="G642" s="28" t="s">
        <v>32</v>
      </c>
      <c r="H642" s="28" t="s">
        <v>87</v>
      </c>
      <c r="I642" s="28">
        <v>5250</v>
      </c>
      <c r="J642" s="28">
        <v>161000</v>
      </c>
      <c r="K642" s="28">
        <v>6440</v>
      </c>
      <c r="L642" s="28">
        <v>322</v>
      </c>
      <c r="M642" s="28">
        <v>0.05</v>
      </c>
      <c r="N642" s="28">
        <v>48300</v>
      </c>
      <c r="O642" s="28">
        <v>0.04</v>
      </c>
      <c r="P642" s="28">
        <v>0.82</v>
      </c>
      <c r="Q642" s="28">
        <v>8.1999999999999993</v>
      </c>
      <c r="R642" s="26"/>
      <c r="S642" s="26"/>
      <c r="T642" s="26"/>
      <c r="U642" s="26"/>
    </row>
    <row r="643" spans="1:21" x14ac:dyDescent="0.3">
      <c r="A643" s="26"/>
      <c r="B643" s="29">
        <v>45478</v>
      </c>
      <c r="C643" s="28" t="s">
        <v>11</v>
      </c>
      <c r="D643" s="28" t="s">
        <v>74</v>
      </c>
      <c r="E643" s="28" t="s">
        <v>49</v>
      </c>
      <c r="F643" s="28" t="s">
        <v>45</v>
      </c>
      <c r="G643" s="28" t="s">
        <v>30</v>
      </c>
      <c r="H643" s="28" t="s">
        <v>87</v>
      </c>
      <c r="I643" s="28">
        <v>7100</v>
      </c>
      <c r="J643" s="28">
        <v>74000</v>
      </c>
      <c r="K643" s="28">
        <v>2220</v>
      </c>
      <c r="L643" s="28">
        <v>111</v>
      </c>
      <c r="M643" s="28">
        <v>0.05</v>
      </c>
      <c r="N643" s="28">
        <v>27750</v>
      </c>
      <c r="O643" s="28">
        <v>0.03</v>
      </c>
      <c r="P643" s="28">
        <v>3.2</v>
      </c>
      <c r="Q643" s="28">
        <v>2.91</v>
      </c>
      <c r="R643" s="26"/>
      <c r="S643" s="26"/>
      <c r="T643" s="26"/>
      <c r="U643" s="26"/>
    </row>
    <row r="644" spans="1:21" x14ac:dyDescent="0.3">
      <c r="A644" s="26"/>
      <c r="B644" s="29">
        <v>45485</v>
      </c>
      <c r="C644" s="28" t="s">
        <v>12</v>
      </c>
      <c r="D644" s="28" t="s">
        <v>67</v>
      </c>
      <c r="E644" s="28" t="s">
        <v>48</v>
      </c>
      <c r="F644" s="28" t="s">
        <v>42</v>
      </c>
      <c r="G644" s="28" t="s">
        <v>31</v>
      </c>
      <c r="H644" s="28" t="s">
        <v>87</v>
      </c>
      <c r="I644" s="28">
        <v>5150</v>
      </c>
      <c r="J644" s="28">
        <v>155000</v>
      </c>
      <c r="K644" s="28">
        <v>7750</v>
      </c>
      <c r="L644" s="28">
        <v>388</v>
      </c>
      <c r="M644" s="28">
        <v>0.05</v>
      </c>
      <c r="N644" s="28">
        <v>58125</v>
      </c>
      <c r="O644" s="28">
        <v>0.05</v>
      </c>
      <c r="P644" s="28">
        <v>0.66</v>
      </c>
      <c r="Q644" s="28">
        <v>10.29</v>
      </c>
      <c r="R644" s="26"/>
      <c r="S644" s="26"/>
      <c r="T644" s="26"/>
      <c r="U644" s="26"/>
    </row>
    <row r="645" spans="1:21" x14ac:dyDescent="0.3">
      <c r="A645" s="26"/>
      <c r="B645" s="29">
        <v>45492</v>
      </c>
      <c r="C645" s="28" t="s">
        <v>13</v>
      </c>
      <c r="D645" s="28" t="s">
        <v>82</v>
      </c>
      <c r="E645" s="28" t="s">
        <v>47</v>
      </c>
      <c r="F645" s="28" t="s">
        <v>39</v>
      </c>
      <c r="G645" s="28" t="s">
        <v>33</v>
      </c>
      <c r="H645" s="28" t="s">
        <v>87</v>
      </c>
      <c r="I645" s="28">
        <v>4850</v>
      </c>
      <c r="J645" s="28">
        <v>147000</v>
      </c>
      <c r="K645" s="28">
        <v>5880</v>
      </c>
      <c r="L645" s="28">
        <v>294</v>
      </c>
      <c r="M645" s="28">
        <v>0.05</v>
      </c>
      <c r="N645" s="28">
        <v>44100</v>
      </c>
      <c r="O645" s="28">
        <v>0.04</v>
      </c>
      <c r="P645" s="28">
        <v>0.82</v>
      </c>
      <c r="Q645" s="28">
        <v>8.09</v>
      </c>
      <c r="R645" s="26"/>
      <c r="S645" s="26"/>
      <c r="T645" s="26"/>
      <c r="U645" s="26"/>
    </row>
    <row r="646" spans="1:21" x14ac:dyDescent="0.3">
      <c r="A646" s="26"/>
      <c r="B646" s="29">
        <v>45499</v>
      </c>
      <c r="C646" s="28" t="s">
        <v>12</v>
      </c>
      <c r="D646" s="28" t="s">
        <v>80</v>
      </c>
      <c r="E646" s="28" t="s">
        <v>48</v>
      </c>
      <c r="F646" s="28" t="s">
        <v>45</v>
      </c>
      <c r="G646" s="28" t="s">
        <v>31</v>
      </c>
      <c r="H646" s="28" t="s">
        <v>87</v>
      </c>
      <c r="I646" s="28">
        <v>5250</v>
      </c>
      <c r="J646" s="28">
        <v>158000</v>
      </c>
      <c r="K646" s="28">
        <v>7900</v>
      </c>
      <c r="L646" s="28">
        <v>395</v>
      </c>
      <c r="M646" s="28">
        <v>0.05</v>
      </c>
      <c r="N646" s="28">
        <v>59250</v>
      </c>
      <c r="O646" s="28">
        <v>0.05</v>
      </c>
      <c r="P646" s="28">
        <v>0.66</v>
      </c>
      <c r="Q646" s="28">
        <v>10.29</v>
      </c>
      <c r="R646" s="26"/>
      <c r="S646" s="26"/>
      <c r="T646" s="26"/>
      <c r="U646" s="26"/>
    </row>
    <row r="647" spans="1:21" x14ac:dyDescent="0.3">
      <c r="A647" s="26"/>
      <c r="B647" s="29">
        <v>45506</v>
      </c>
      <c r="C647" s="28" t="s">
        <v>13</v>
      </c>
      <c r="D647" s="28" t="s">
        <v>81</v>
      </c>
      <c r="E647" s="28" t="s">
        <v>48</v>
      </c>
      <c r="F647" s="28" t="s">
        <v>36</v>
      </c>
      <c r="G647" s="28" t="s">
        <v>32</v>
      </c>
      <c r="H647" s="28" t="s">
        <v>87</v>
      </c>
      <c r="I647" s="28">
        <v>5350</v>
      </c>
      <c r="J647" s="28">
        <v>164000</v>
      </c>
      <c r="K647" s="28">
        <v>6560</v>
      </c>
      <c r="L647" s="28">
        <v>328</v>
      </c>
      <c r="M647" s="28">
        <v>0.05</v>
      </c>
      <c r="N647" s="28">
        <v>49200</v>
      </c>
      <c r="O647" s="28">
        <v>0.04</v>
      </c>
      <c r="P647" s="28">
        <v>0.82</v>
      </c>
      <c r="Q647" s="28">
        <v>8.1999999999999993</v>
      </c>
      <c r="R647" s="26"/>
      <c r="S647" s="26"/>
      <c r="T647" s="26"/>
      <c r="U647" s="26"/>
    </row>
    <row r="648" spans="1:21" x14ac:dyDescent="0.3">
      <c r="A648" s="26"/>
      <c r="B648" s="29">
        <v>45513</v>
      </c>
      <c r="C648" s="28" t="s">
        <v>12</v>
      </c>
      <c r="D648" s="28" t="s">
        <v>72</v>
      </c>
      <c r="E648" s="28" t="s">
        <v>47</v>
      </c>
      <c r="F648" s="28" t="s">
        <v>45</v>
      </c>
      <c r="G648" s="28" t="s">
        <v>30</v>
      </c>
      <c r="H648" s="28" t="s">
        <v>87</v>
      </c>
      <c r="I648" s="28">
        <v>7200</v>
      </c>
      <c r="J648" s="28">
        <v>75000</v>
      </c>
      <c r="K648" s="28">
        <v>2250</v>
      </c>
      <c r="L648" s="28">
        <v>112</v>
      </c>
      <c r="M648" s="28">
        <v>0.05</v>
      </c>
      <c r="N648" s="28">
        <v>28125</v>
      </c>
      <c r="O648" s="28">
        <v>0.03</v>
      </c>
      <c r="P648" s="28">
        <v>3.2</v>
      </c>
      <c r="Q648" s="28">
        <v>2.91</v>
      </c>
      <c r="R648" s="26"/>
      <c r="S648" s="26"/>
      <c r="T648" s="26"/>
      <c r="U648" s="26"/>
    </row>
    <row r="649" spans="1:21" x14ac:dyDescent="0.3">
      <c r="A649" s="26"/>
      <c r="B649" s="29">
        <v>45520</v>
      </c>
      <c r="C649" s="28" t="s">
        <v>10</v>
      </c>
      <c r="D649" s="28" t="s">
        <v>71</v>
      </c>
      <c r="E649" s="28" t="s">
        <v>48</v>
      </c>
      <c r="F649" s="28" t="s">
        <v>41</v>
      </c>
      <c r="G649" s="28" t="s">
        <v>31</v>
      </c>
      <c r="H649" s="28" t="s">
        <v>87</v>
      </c>
      <c r="I649" s="28">
        <v>5350</v>
      </c>
      <c r="J649" s="28">
        <v>161000</v>
      </c>
      <c r="K649" s="28">
        <v>8050</v>
      </c>
      <c r="L649" s="28">
        <v>402</v>
      </c>
      <c r="M649" s="28">
        <v>0.05</v>
      </c>
      <c r="N649" s="28">
        <v>60375</v>
      </c>
      <c r="O649" s="28">
        <v>0.05</v>
      </c>
      <c r="P649" s="28">
        <v>0.66</v>
      </c>
      <c r="Q649" s="28">
        <v>10.28</v>
      </c>
      <c r="R649" s="26"/>
      <c r="S649" s="26"/>
      <c r="T649" s="26"/>
      <c r="U649" s="26"/>
    </row>
    <row r="650" spans="1:21" x14ac:dyDescent="0.3">
      <c r="A650" s="26"/>
      <c r="B650" s="29">
        <v>45527</v>
      </c>
      <c r="C650" s="28" t="s">
        <v>12</v>
      </c>
      <c r="D650" s="28" t="s">
        <v>75</v>
      </c>
      <c r="E650" s="28" t="s">
        <v>47</v>
      </c>
      <c r="F650" s="28" t="s">
        <v>45</v>
      </c>
      <c r="G650" s="28" t="s">
        <v>33</v>
      </c>
      <c r="H650" s="28" t="s">
        <v>87</v>
      </c>
      <c r="I650" s="28">
        <v>4950</v>
      </c>
      <c r="J650" s="28">
        <v>150000</v>
      </c>
      <c r="K650" s="28">
        <v>6000</v>
      </c>
      <c r="L650" s="28">
        <v>300</v>
      </c>
      <c r="M650" s="28">
        <v>0.05</v>
      </c>
      <c r="N650" s="28">
        <v>45000</v>
      </c>
      <c r="O650" s="28">
        <v>0.04</v>
      </c>
      <c r="P650" s="28">
        <v>0.82</v>
      </c>
      <c r="Q650" s="28">
        <v>8.09</v>
      </c>
      <c r="R650" s="26"/>
      <c r="S650" s="26"/>
      <c r="T650" s="26"/>
      <c r="U650" s="26"/>
    </row>
    <row r="651" spans="1:21" x14ac:dyDescent="0.3">
      <c r="A651" s="26"/>
      <c r="B651" s="29">
        <v>45534</v>
      </c>
      <c r="C651" s="28" t="s">
        <v>12</v>
      </c>
      <c r="D651" s="28" t="s">
        <v>71</v>
      </c>
      <c r="E651" s="28" t="s">
        <v>48</v>
      </c>
      <c r="F651" s="28" t="s">
        <v>41</v>
      </c>
      <c r="G651" s="28" t="s">
        <v>31</v>
      </c>
      <c r="H651" s="28" t="s">
        <v>87</v>
      </c>
      <c r="I651" s="28">
        <v>5450</v>
      </c>
      <c r="J651" s="28">
        <v>164000</v>
      </c>
      <c r="K651" s="28">
        <v>8200</v>
      </c>
      <c r="L651" s="28">
        <v>410</v>
      </c>
      <c r="M651" s="28">
        <v>0.05</v>
      </c>
      <c r="N651" s="28">
        <v>61500</v>
      </c>
      <c r="O651" s="28">
        <v>0.05</v>
      </c>
      <c r="P651" s="28">
        <v>0.66</v>
      </c>
      <c r="Q651" s="28">
        <v>10.28</v>
      </c>
      <c r="R651" s="26"/>
      <c r="S651" s="26"/>
      <c r="T651" s="26"/>
      <c r="U651" s="26"/>
    </row>
    <row r="652" spans="1:21" x14ac:dyDescent="0.3">
      <c r="A652" s="26"/>
      <c r="B652" s="29">
        <v>45541</v>
      </c>
      <c r="C652" s="28" t="s">
        <v>13</v>
      </c>
      <c r="D652" s="28" t="s">
        <v>73</v>
      </c>
      <c r="E652" s="28" t="s">
        <v>47</v>
      </c>
      <c r="F652" s="28" t="s">
        <v>40</v>
      </c>
      <c r="G652" s="28" t="s">
        <v>32</v>
      </c>
      <c r="H652" s="28" t="s">
        <v>88</v>
      </c>
      <c r="I652" s="28">
        <v>5450</v>
      </c>
      <c r="J652" s="28">
        <v>167000</v>
      </c>
      <c r="K652" s="28">
        <v>6680</v>
      </c>
      <c r="L652" s="28">
        <v>334</v>
      </c>
      <c r="M652" s="28">
        <v>0.05</v>
      </c>
      <c r="N652" s="28">
        <v>50100</v>
      </c>
      <c r="O652" s="28">
        <v>0.04</v>
      </c>
      <c r="P652" s="28">
        <v>0.82</v>
      </c>
      <c r="Q652" s="28">
        <v>8.19</v>
      </c>
      <c r="R652" s="26"/>
      <c r="S652" s="26"/>
      <c r="T652" s="26"/>
      <c r="U652" s="26"/>
    </row>
    <row r="653" spans="1:21" x14ac:dyDescent="0.3">
      <c r="A653" s="26"/>
      <c r="B653" s="29">
        <v>45548</v>
      </c>
      <c r="C653" s="28" t="s">
        <v>11</v>
      </c>
      <c r="D653" s="28" t="s">
        <v>72</v>
      </c>
      <c r="E653" s="28" t="s">
        <v>47</v>
      </c>
      <c r="F653" s="28" t="s">
        <v>40</v>
      </c>
      <c r="G653" s="28" t="s">
        <v>30</v>
      </c>
      <c r="H653" s="28" t="s">
        <v>88</v>
      </c>
      <c r="I653" s="28">
        <v>7300</v>
      </c>
      <c r="J653" s="28">
        <v>76000</v>
      </c>
      <c r="K653" s="28">
        <v>2280</v>
      </c>
      <c r="L653" s="28">
        <v>114</v>
      </c>
      <c r="M653" s="28">
        <v>0.05</v>
      </c>
      <c r="N653" s="28">
        <v>28500</v>
      </c>
      <c r="O653" s="28">
        <v>0.03</v>
      </c>
      <c r="P653" s="28">
        <v>3.2</v>
      </c>
      <c r="Q653" s="28">
        <v>2.9</v>
      </c>
      <c r="R653" s="26"/>
      <c r="S653" s="26"/>
      <c r="T653" s="26"/>
      <c r="U653" s="26"/>
    </row>
    <row r="654" spans="1:21" x14ac:dyDescent="0.3">
      <c r="A654" s="26"/>
      <c r="B654" s="29">
        <v>45555</v>
      </c>
      <c r="C654" s="28" t="s">
        <v>12</v>
      </c>
      <c r="D654" s="28" t="s">
        <v>73</v>
      </c>
      <c r="E654" s="28" t="s">
        <v>47</v>
      </c>
      <c r="F654" s="28" t="s">
        <v>42</v>
      </c>
      <c r="G654" s="28" t="s">
        <v>31</v>
      </c>
      <c r="H654" s="28" t="s">
        <v>88</v>
      </c>
      <c r="I654" s="28">
        <v>5550</v>
      </c>
      <c r="J654" s="28">
        <v>167000</v>
      </c>
      <c r="K654" s="28">
        <v>8350</v>
      </c>
      <c r="L654" s="28">
        <v>418</v>
      </c>
      <c r="M654" s="28">
        <v>0.05</v>
      </c>
      <c r="N654" s="28">
        <v>62625</v>
      </c>
      <c r="O654" s="28">
        <v>0.05</v>
      </c>
      <c r="P654" s="28">
        <v>0.66</v>
      </c>
      <c r="Q654" s="28">
        <v>10.28</v>
      </c>
      <c r="R654" s="26"/>
      <c r="S654" s="26"/>
      <c r="T654" s="26"/>
      <c r="U654" s="26"/>
    </row>
    <row r="655" spans="1:21" x14ac:dyDescent="0.3">
      <c r="A655" s="26"/>
      <c r="B655" s="29">
        <v>45562</v>
      </c>
      <c r="C655" s="28" t="s">
        <v>12</v>
      </c>
      <c r="D655" s="28" t="s">
        <v>73</v>
      </c>
      <c r="E655" s="28" t="s">
        <v>47</v>
      </c>
      <c r="F655" s="28" t="s">
        <v>36</v>
      </c>
      <c r="G655" s="28" t="s">
        <v>33</v>
      </c>
      <c r="H655" s="28" t="s">
        <v>88</v>
      </c>
      <c r="I655" s="28">
        <v>5050</v>
      </c>
      <c r="J655" s="28">
        <v>153000</v>
      </c>
      <c r="K655" s="28">
        <v>6120</v>
      </c>
      <c r="L655" s="28">
        <v>306</v>
      </c>
      <c r="M655" s="28">
        <v>0.05</v>
      </c>
      <c r="N655" s="28">
        <v>45900</v>
      </c>
      <c r="O655" s="28">
        <v>0.04</v>
      </c>
      <c r="P655" s="28">
        <v>0.82</v>
      </c>
      <c r="Q655" s="28">
        <v>8.09</v>
      </c>
      <c r="R655" s="26"/>
      <c r="S655" s="26"/>
      <c r="T655" s="26"/>
      <c r="U655" s="26"/>
    </row>
    <row r="656" spans="1:21" x14ac:dyDescent="0.3">
      <c r="A656" s="26"/>
      <c r="B656" s="29">
        <v>45569</v>
      </c>
      <c r="C656" s="28" t="s">
        <v>11</v>
      </c>
      <c r="D656" s="28" t="s">
        <v>81</v>
      </c>
      <c r="E656" s="28" t="s">
        <v>48</v>
      </c>
      <c r="F656" s="28" t="s">
        <v>44</v>
      </c>
      <c r="G656" s="28" t="s">
        <v>31</v>
      </c>
      <c r="H656" s="28" t="s">
        <v>88</v>
      </c>
      <c r="I656" s="28">
        <v>5650</v>
      </c>
      <c r="J656" s="28">
        <v>170000</v>
      </c>
      <c r="K656" s="28">
        <v>8500</v>
      </c>
      <c r="L656" s="28">
        <v>425</v>
      </c>
      <c r="M656" s="28">
        <v>0.05</v>
      </c>
      <c r="N656" s="28">
        <v>63750</v>
      </c>
      <c r="O656" s="28">
        <v>0.05</v>
      </c>
      <c r="P656" s="28">
        <v>0.66</v>
      </c>
      <c r="Q656" s="28">
        <v>10.28</v>
      </c>
      <c r="R656" s="26"/>
      <c r="S656" s="26"/>
      <c r="T656" s="26"/>
      <c r="U656" s="26"/>
    </row>
    <row r="657" spans="1:21" x14ac:dyDescent="0.3">
      <c r="A657" s="26"/>
      <c r="B657" s="29">
        <v>45576</v>
      </c>
      <c r="C657" s="28" t="s">
        <v>11</v>
      </c>
      <c r="D657" s="28" t="s">
        <v>72</v>
      </c>
      <c r="E657" s="28" t="s">
        <v>47</v>
      </c>
      <c r="F657" s="28" t="s">
        <v>40</v>
      </c>
      <c r="G657" s="28" t="s">
        <v>32</v>
      </c>
      <c r="H657" s="28" t="s">
        <v>88</v>
      </c>
      <c r="I657" s="28">
        <v>5550</v>
      </c>
      <c r="J657" s="28">
        <v>170000</v>
      </c>
      <c r="K657" s="28">
        <v>6800</v>
      </c>
      <c r="L657" s="28">
        <v>340</v>
      </c>
      <c r="M657" s="28">
        <v>0.05</v>
      </c>
      <c r="N657" s="28">
        <v>51000</v>
      </c>
      <c r="O657" s="28">
        <v>0.04</v>
      </c>
      <c r="P657" s="28">
        <v>0.82</v>
      </c>
      <c r="Q657" s="28">
        <v>8.19</v>
      </c>
      <c r="R657" s="26"/>
      <c r="S657" s="26"/>
      <c r="T657" s="26"/>
      <c r="U657" s="26"/>
    </row>
    <row r="658" spans="1:21" x14ac:dyDescent="0.3">
      <c r="A658" s="26"/>
      <c r="B658" s="29">
        <v>45583</v>
      </c>
      <c r="C658" s="28" t="s">
        <v>11</v>
      </c>
      <c r="D658" s="28" t="s">
        <v>72</v>
      </c>
      <c r="E658" s="28" t="s">
        <v>47</v>
      </c>
      <c r="F658" s="28" t="s">
        <v>40</v>
      </c>
      <c r="G658" s="28" t="s">
        <v>30</v>
      </c>
      <c r="H658" s="28" t="s">
        <v>88</v>
      </c>
      <c r="I658" s="28">
        <v>7400</v>
      </c>
      <c r="J658" s="28">
        <v>77000</v>
      </c>
      <c r="K658" s="28">
        <v>2310</v>
      </c>
      <c r="L658" s="28">
        <v>116</v>
      </c>
      <c r="M658" s="28">
        <v>0.05</v>
      </c>
      <c r="N658" s="28">
        <v>28875</v>
      </c>
      <c r="O658" s="28">
        <v>0.03</v>
      </c>
      <c r="P658" s="28">
        <v>3.2</v>
      </c>
      <c r="Q658" s="28">
        <v>2.9</v>
      </c>
      <c r="R658" s="26"/>
      <c r="S658" s="26"/>
      <c r="T658" s="26"/>
      <c r="U658" s="26"/>
    </row>
    <row r="659" spans="1:21" x14ac:dyDescent="0.3">
      <c r="A659" s="26"/>
      <c r="B659" s="29">
        <v>45590</v>
      </c>
      <c r="C659" s="28" t="s">
        <v>10</v>
      </c>
      <c r="D659" s="28" t="s">
        <v>73</v>
      </c>
      <c r="E659" s="28" t="s">
        <v>47</v>
      </c>
      <c r="F659" s="28" t="s">
        <v>40</v>
      </c>
      <c r="G659" s="28" t="s">
        <v>31</v>
      </c>
      <c r="H659" s="28" t="s">
        <v>88</v>
      </c>
      <c r="I659" s="28">
        <v>5750</v>
      </c>
      <c r="J659" s="28">
        <v>173000</v>
      </c>
      <c r="K659" s="28">
        <v>8650</v>
      </c>
      <c r="L659" s="28">
        <v>432</v>
      </c>
      <c r="M659" s="28">
        <v>0.05</v>
      </c>
      <c r="N659" s="28">
        <v>64875</v>
      </c>
      <c r="O659" s="28">
        <v>0.05</v>
      </c>
      <c r="P659" s="28">
        <v>0.66</v>
      </c>
      <c r="Q659" s="28">
        <v>10.28</v>
      </c>
      <c r="R659" s="26"/>
      <c r="S659" s="26"/>
      <c r="T659" s="26"/>
      <c r="U659" s="26"/>
    </row>
    <row r="660" spans="1:21" x14ac:dyDescent="0.3">
      <c r="A660" s="26"/>
      <c r="B660" s="29">
        <v>45597</v>
      </c>
      <c r="C660" s="28" t="s">
        <v>12</v>
      </c>
      <c r="D660" s="28" t="s">
        <v>84</v>
      </c>
      <c r="E660" s="28" t="s">
        <v>48</v>
      </c>
      <c r="F660" s="28" t="s">
        <v>37</v>
      </c>
      <c r="G660" s="28" t="s">
        <v>33</v>
      </c>
      <c r="H660" s="28" t="s">
        <v>88</v>
      </c>
      <c r="I660" s="28">
        <v>5150</v>
      </c>
      <c r="J660" s="28">
        <v>156000</v>
      </c>
      <c r="K660" s="28">
        <v>6240</v>
      </c>
      <c r="L660" s="28">
        <v>312</v>
      </c>
      <c r="M660" s="28">
        <v>0.05</v>
      </c>
      <c r="N660" s="28">
        <v>46800</v>
      </c>
      <c r="O660" s="28">
        <v>0.04</v>
      </c>
      <c r="P660" s="28">
        <v>0.82</v>
      </c>
      <c r="Q660" s="28">
        <v>8.09</v>
      </c>
      <c r="R660" s="26"/>
      <c r="S660" s="26"/>
      <c r="T660" s="26"/>
      <c r="U660" s="26"/>
    </row>
    <row r="661" spans="1:21" x14ac:dyDescent="0.3">
      <c r="A661" s="26"/>
      <c r="B661" s="29">
        <v>45604</v>
      </c>
      <c r="C661" s="28" t="s">
        <v>13</v>
      </c>
      <c r="D661" s="28" t="s">
        <v>80</v>
      </c>
      <c r="E661" s="28" t="s">
        <v>48</v>
      </c>
      <c r="F661" s="28" t="s">
        <v>45</v>
      </c>
      <c r="G661" s="28" t="s">
        <v>31</v>
      </c>
      <c r="H661" s="28" t="s">
        <v>88</v>
      </c>
      <c r="I661" s="28">
        <v>5850</v>
      </c>
      <c r="J661" s="28">
        <v>176000</v>
      </c>
      <c r="K661" s="28">
        <v>8800</v>
      </c>
      <c r="L661" s="28">
        <v>440</v>
      </c>
      <c r="M661" s="28">
        <v>0.05</v>
      </c>
      <c r="N661" s="28">
        <v>66000</v>
      </c>
      <c r="O661" s="28">
        <v>0.05</v>
      </c>
      <c r="P661" s="28">
        <v>0.66</v>
      </c>
      <c r="Q661" s="28">
        <v>10.28</v>
      </c>
      <c r="R661" s="26"/>
      <c r="S661" s="26"/>
      <c r="T661" s="26"/>
      <c r="U661" s="26"/>
    </row>
    <row r="662" spans="1:21" x14ac:dyDescent="0.3">
      <c r="A662" s="26"/>
      <c r="B662" s="29">
        <v>45611</v>
      </c>
      <c r="C662" s="28" t="s">
        <v>12</v>
      </c>
      <c r="D662" s="28" t="s">
        <v>72</v>
      </c>
      <c r="E662" s="28" t="s">
        <v>47</v>
      </c>
      <c r="F662" s="28" t="s">
        <v>41</v>
      </c>
      <c r="G662" s="28" t="s">
        <v>32</v>
      </c>
      <c r="H662" s="28" t="s">
        <v>88</v>
      </c>
      <c r="I662" s="28">
        <v>5650</v>
      </c>
      <c r="J662" s="28">
        <v>173000</v>
      </c>
      <c r="K662" s="28">
        <v>6920</v>
      </c>
      <c r="L662" s="28">
        <v>346</v>
      </c>
      <c r="M662" s="28">
        <v>0.05</v>
      </c>
      <c r="N662" s="28">
        <v>51900</v>
      </c>
      <c r="O662" s="28">
        <v>0.04</v>
      </c>
      <c r="P662" s="28">
        <v>0.82</v>
      </c>
      <c r="Q662" s="28">
        <v>8.19</v>
      </c>
      <c r="R662" s="26"/>
      <c r="S662" s="26"/>
      <c r="T662" s="26"/>
      <c r="U662" s="26"/>
    </row>
    <row r="663" spans="1:21" x14ac:dyDescent="0.3">
      <c r="A663" s="26"/>
      <c r="B663" s="29">
        <v>45618</v>
      </c>
      <c r="C663" s="28" t="s">
        <v>12</v>
      </c>
      <c r="D663" s="28" t="s">
        <v>68</v>
      </c>
      <c r="E663" s="28" t="s">
        <v>47</v>
      </c>
      <c r="F663" s="28" t="s">
        <v>45</v>
      </c>
      <c r="G663" s="28" t="s">
        <v>30</v>
      </c>
      <c r="H663" s="28" t="s">
        <v>88</v>
      </c>
      <c r="I663" s="28">
        <v>7500</v>
      </c>
      <c r="J663" s="28">
        <v>78000</v>
      </c>
      <c r="K663" s="28">
        <v>2340</v>
      </c>
      <c r="L663" s="28">
        <v>117</v>
      </c>
      <c r="M663" s="28">
        <v>0.05</v>
      </c>
      <c r="N663" s="28">
        <v>29250</v>
      </c>
      <c r="O663" s="28">
        <v>0.03</v>
      </c>
      <c r="P663" s="28">
        <v>3.21</v>
      </c>
      <c r="Q663" s="28">
        <v>2.9</v>
      </c>
      <c r="R663" s="26"/>
      <c r="S663" s="26"/>
      <c r="T663" s="26"/>
      <c r="U663" s="26"/>
    </row>
    <row r="664" spans="1:21" x14ac:dyDescent="0.3">
      <c r="A664" s="26"/>
      <c r="B664" s="29">
        <v>45625</v>
      </c>
      <c r="C664" s="28" t="s">
        <v>13</v>
      </c>
      <c r="D664" s="28" t="s">
        <v>80</v>
      </c>
      <c r="E664" s="28" t="s">
        <v>48</v>
      </c>
      <c r="F664" s="28" t="s">
        <v>43</v>
      </c>
      <c r="G664" s="28" t="s">
        <v>31</v>
      </c>
      <c r="H664" s="28" t="s">
        <v>88</v>
      </c>
      <c r="I664" s="28">
        <v>5950</v>
      </c>
      <c r="J664" s="28">
        <v>179000</v>
      </c>
      <c r="K664" s="28">
        <v>8950</v>
      </c>
      <c r="L664" s="28">
        <v>448</v>
      </c>
      <c r="M664" s="28">
        <v>0.05</v>
      </c>
      <c r="N664" s="28">
        <v>67125</v>
      </c>
      <c r="O664" s="28">
        <v>0.05</v>
      </c>
      <c r="P664" s="28">
        <v>0.66</v>
      </c>
      <c r="Q664" s="28">
        <v>10.28</v>
      </c>
      <c r="R664" s="26"/>
      <c r="S664" s="26"/>
      <c r="T664" s="26"/>
      <c r="U664" s="26"/>
    </row>
    <row r="665" spans="1:21" x14ac:dyDescent="0.3">
      <c r="A665" s="26"/>
      <c r="B665" s="29">
        <v>45632</v>
      </c>
      <c r="C665" s="28" t="s">
        <v>12</v>
      </c>
      <c r="D665" s="28" t="s">
        <v>72</v>
      </c>
      <c r="E665" s="28" t="s">
        <v>47</v>
      </c>
      <c r="F665" s="28" t="s">
        <v>42</v>
      </c>
      <c r="G665" s="28" t="s">
        <v>33</v>
      </c>
      <c r="H665" s="28" t="s">
        <v>88</v>
      </c>
      <c r="I665" s="28">
        <v>5250</v>
      </c>
      <c r="J665" s="28">
        <v>159000</v>
      </c>
      <c r="K665" s="28">
        <v>6360</v>
      </c>
      <c r="L665" s="28">
        <v>318</v>
      </c>
      <c r="M665" s="28">
        <v>0.05</v>
      </c>
      <c r="N665" s="28">
        <v>47700</v>
      </c>
      <c r="O665" s="28">
        <v>0.04</v>
      </c>
      <c r="P665" s="28">
        <v>0.82</v>
      </c>
      <c r="Q665" s="28">
        <v>8.09</v>
      </c>
      <c r="R665" s="26"/>
      <c r="S665" s="26"/>
      <c r="T665" s="26"/>
      <c r="U665" s="26"/>
    </row>
    <row r="666" spans="1:21" x14ac:dyDescent="0.3">
      <c r="A666" s="26"/>
      <c r="B666" s="29">
        <v>45639</v>
      </c>
      <c r="C666" s="28" t="s">
        <v>12</v>
      </c>
      <c r="D666" s="28" t="s">
        <v>82</v>
      </c>
      <c r="E666" s="28" t="s">
        <v>47</v>
      </c>
      <c r="F666" s="28" t="s">
        <v>40</v>
      </c>
      <c r="G666" s="28" t="s">
        <v>31</v>
      </c>
      <c r="H666" s="28" t="s">
        <v>88</v>
      </c>
      <c r="I666" s="28">
        <v>6050</v>
      </c>
      <c r="J666" s="28">
        <v>182000</v>
      </c>
      <c r="K666" s="28">
        <v>9100</v>
      </c>
      <c r="L666" s="28">
        <v>455</v>
      </c>
      <c r="M666" s="28">
        <v>0.05</v>
      </c>
      <c r="N666" s="28">
        <v>68250</v>
      </c>
      <c r="O666" s="28">
        <v>0.05</v>
      </c>
      <c r="P666" s="28">
        <v>0.66</v>
      </c>
      <c r="Q666" s="28">
        <v>10.28</v>
      </c>
      <c r="R666" s="26"/>
      <c r="S666" s="26"/>
      <c r="T666" s="26"/>
      <c r="U666" s="26"/>
    </row>
    <row r="667" spans="1:21" x14ac:dyDescent="0.3">
      <c r="A667" s="26"/>
      <c r="B667" s="29">
        <v>45646</v>
      </c>
      <c r="C667" s="28" t="s">
        <v>12</v>
      </c>
      <c r="D667" s="28" t="s">
        <v>74</v>
      </c>
      <c r="E667" s="28" t="s">
        <v>49</v>
      </c>
      <c r="F667" s="28" t="s">
        <v>45</v>
      </c>
      <c r="G667" s="28" t="s">
        <v>32</v>
      </c>
      <c r="H667" s="28" t="s">
        <v>88</v>
      </c>
      <c r="I667" s="28">
        <v>5750</v>
      </c>
      <c r="J667" s="28">
        <v>176000</v>
      </c>
      <c r="K667" s="28">
        <v>7040</v>
      </c>
      <c r="L667" s="28">
        <v>352</v>
      </c>
      <c r="M667" s="28">
        <v>0.05</v>
      </c>
      <c r="N667" s="28">
        <v>52800</v>
      </c>
      <c r="O667" s="28">
        <v>0.04</v>
      </c>
      <c r="P667" s="28">
        <v>0.82</v>
      </c>
      <c r="Q667" s="28">
        <v>8.18</v>
      </c>
      <c r="R667" s="26"/>
      <c r="S667" s="26"/>
      <c r="T667" s="26"/>
      <c r="U667" s="26"/>
    </row>
    <row r="668" spans="1:21" x14ac:dyDescent="0.3">
      <c r="A668" s="26"/>
      <c r="B668" s="29">
        <v>45653</v>
      </c>
      <c r="C668" s="28" t="s">
        <v>11</v>
      </c>
      <c r="D668" s="28" t="s">
        <v>68</v>
      </c>
      <c r="E668" s="28" t="s">
        <v>47</v>
      </c>
      <c r="F668" s="28" t="s">
        <v>44</v>
      </c>
      <c r="G668" s="28" t="s">
        <v>30</v>
      </c>
      <c r="H668" s="28" t="s">
        <v>88</v>
      </c>
      <c r="I668" s="28">
        <v>7600</v>
      </c>
      <c r="J668" s="28">
        <v>79000</v>
      </c>
      <c r="K668" s="28">
        <v>2370</v>
      </c>
      <c r="L668" s="28">
        <v>118</v>
      </c>
      <c r="M668" s="28">
        <v>0.05</v>
      </c>
      <c r="N668" s="28">
        <v>29625</v>
      </c>
      <c r="O668" s="28">
        <v>0.03</v>
      </c>
      <c r="P668" s="28">
        <v>3.21</v>
      </c>
      <c r="Q668" s="28">
        <v>2.9</v>
      </c>
      <c r="R668" s="26"/>
      <c r="S668" s="26"/>
      <c r="T668" s="26"/>
      <c r="U668" s="26"/>
    </row>
    <row r="669" spans="1:21" x14ac:dyDescent="0.3">
      <c r="A669" s="26"/>
      <c r="B669" s="29">
        <v>44933</v>
      </c>
      <c r="C669" s="28" t="s">
        <v>12</v>
      </c>
      <c r="D669" s="28" t="s">
        <v>70</v>
      </c>
      <c r="E669" s="28" t="s">
        <v>49</v>
      </c>
      <c r="F669" s="28" t="s">
        <v>41</v>
      </c>
      <c r="G669" s="28" t="s">
        <v>32</v>
      </c>
      <c r="H669" s="28" t="s">
        <v>85</v>
      </c>
      <c r="I669" s="28">
        <v>3450</v>
      </c>
      <c r="J669" s="28">
        <v>108000</v>
      </c>
      <c r="K669" s="28">
        <v>4320</v>
      </c>
      <c r="L669" s="28">
        <v>216</v>
      </c>
      <c r="M669" s="28">
        <v>0.05</v>
      </c>
      <c r="N669" s="28">
        <v>32400</v>
      </c>
      <c r="O669" s="28">
        <v>0.04</v>
      </c>
      <c r="P669" s="28">
        <v>0.8</v>
      </c>
      <c r="Q669" s="28">
        <v>8.39</v>
      </c>
      <c r="R669" s="26"/>
      <c r="S669" s="26"/>
      <c r="T669" s="26"/>
      <c r="U669" s="26"/>
    </row>
    <row r="670" spans="1:21" x14ac:dyDescent="0.3">
      <c r="A670" s="26"/>
      <c r="B670" s="29">
        <v>44940</v>
      </c>
      <c r="C670" s="28" t="s">
        <v>12</v>
      </c>
      <c r="D670" s="28" t="s">
        <v>81</v>
      </c>
      <c r="E670" s="28" t="s">
        <v>48</v>
      </c>
      <c r="F670" s="28" t="s">
        <v>36</v>
      </c>
      <c r="G670" s="28" t="s">
        <v>31</v>
      </c>
      <c r="H670" s="28" t="s">
        <v>85</v>
      </c>
      <c r="I670" s="28">
        <v>1850</v>
      </c>
      <c r="J670" s="28">
        <v>66000</v>
      </c>
      <c r="K670" s="28">
        <v>3300</v>
      </c>
      <c r="L670" s="28">
        <v>165</v>
      </c>
      <c r="M670" s="28">
        <v>0.05</v>
      </c>
      <c r="N670" s="28">
        <v>24750</v>
      </c>
      <c r="O670" s="28">
        <v>0.05</v>
      </c>
      <c r="P670" s="28">
        <v>0.56000000000000005</v>
      </c>
      <c r="Q670" s="28">
        <v>12.38</v>
      </c>
      <c r="R670" s="26"/>
      <c r="S670" s="26"/>
      <c r="T670" s="26"/>
      <c r="U670" s="26"/>
    </row>
    <row r="671" spans="1:21" x14ac:dyDescent="0.3">
      <c r="A671" s="26"/>
      <c r="B671" s="29">
        <v>44947</v>
      </c>
      <c r="C671" s="28" t="s">
        <v>12</v>
      </c>
      <c r="D671" s="28" t="s">
        <v>68</v>
      </c>
      <c r="E671" s="28" t="s">
        <v>47</v>
      </c>
      <c r="F671" s="28" t="s">
        <v>39</v>
      </c>
      <c r="G671" s="28" t="s">
        <v>33</v>
      </c>
      <c r="H671" s="28" t="s">
        <v>85</v>
      </c>
      <c r="I671" s="28">
        <v>2950</v>
      </c>
      <c r="J671" s="28">
        <v>90000</v>
      </c>
      <c r="K671" s="28">
        <v>3600</v>
      </c>
      <c r="L671" s="28">
        <v>180</v>
      </c>
      <c r="M671" s="28">
        <v>0.05</v>
      </c>
      <c r="N671" s="28">
        <v>27000</v>
      </c>
      <c r="O671" s="28">
        <v>0.04</v>
      </c>
      <c r="P671" s="28">
        <v>0.82</v>
      </c>
      <c r="Q671" s="28">
        <v>8.15</v>
      </c>
      <c r="R671" s="26"/>
      <c r="S671" s="26"/>
      <c r="T671" s="26"/>
      <c r="U671" s="26"/>
    </row>
    <row r="672" spans="1:21" x14ac:dyDescent="0.3">
      <c r="A672" s="26"/>
      <c r="B672" s="29">
        <v>44954</v>
      </c>
      <c r="C672" s="28" t="s">
        <v>12</v>
      </c>
      <c r="D672" s="28" t="s">
        <v>73</v>
      </c>
      <c r="E672" s="28" t="s">
        <v>47</v>
      </c>
      <c r="F672" s="28" t="s">
        <v>45</v>
      </c>
      <c r="G672" s="28" t="s">
        <v>30</v>
      </c>
      <c r="H672" s="28" t="s">
        <v>85</v>
      </c>
      <c r="I672" s="28">
        <v>5200</v>
      </c>
      <c r="J672" s="28">
        <v>56000</v>
      </c>
      <c r="K672" s="28">
        <v>1680</v>
      </c>
      <c r="L672" s="28">
        <v>84</v>
      </c>
      <c r="M672" s="28">
        <v>0.05</v>
      </c>
      <c r="N672" s="28">
        <v>21000</v>
      </c>
      <c r="O672" s="28">
        <v>0.03</v>
      </c>
      <c r="P672" s="28">
        <v>3.1</v>
      </c>
      <c r="Q672" s="28">
        <v>3.04</v>
      </c>
      <c r="R672" s="26"/>
      <c r="S672" s="26"/>
      <c r="T672" s="26"/>
      <c r="U672" s="26"/>
    </row>
    <row r="673" spans="1:21" x14ac:dyDescent="0.3">
      <c r="A673" s="26"/>
      <c r="B673" s="29">
        <v>44961</v>
      </c>
      <c r="C673" s="28" t="s">
        <v>12</v>
      </c>
      <c r="D673" s="28" t="s">
        <v>82</v>
      </c>
      <c r="E673" s="28" t="s">
        <v>47</v>
      </c>
      <c r="F673" s="28" t="s">
        <v>40</v>
      </c>
      <c r="G673" s="28" t="s">
        <v>31</v>
      </c>
      <c r="H673" s="28" t="s">
        <v>85</v>
      </c>
      <c r="I673" s="28">
        <v>2150</v>
      </c>
      <c r="J673" s="28">
        <v>72000</v>
      </c>
      <c r="K673" s="28">
        <v>3600</v>
      </c>
      <c r="L673" s="28">
        <v>180</v>
      </c>
      <c r="M673" s="28">
        <v>0.05</v>
      </c>
      <c r="N673" s="28">
        <v>27000</v>
      </c>
      <c r="O673" s="28">
        <v>0.05</v>
      </c>
      <c r="P673" s="28">
        <v>0.6</v>
      </c>
      <c r="Q673" s="28">
        <v>11.56</v>
      </c>
      <c r="R673" s="26"/>
      <c r="S673" s="26"/>
      <c r="T673" s="26"/>
      <c r="U673" s="26"/>
    </row>
    <row r="674" spans="1:21" x14ac:dyDescent="0.3">
      <c r="A674" s="26"/>
      <c r="B674" s="29">
        <v>44968</v>
      </c>
      <c r="C674" s="28" t="s">
        <v>12</v>
      </c>
      <c r="D674" s="28" t="s">
        <v>72</v>
      </c>
      <c r="E674" s="28" t="s">
        <v>47</v>
      </c>
      <c r="F674" s="28" t="s">
        <v>41</v>
      </c>
      <c r="G674" s="28" t="s">
        <v>32</v>
      </c>
      <c r="H674" s="28" t="s">
        <v>85</v>
      </c>
      <c r="I674" s="28">
        <v>3650</v>
      </c>
      <c r="J674" s="28">
        <v>114000</v>
      </c>
      <c r="K674" s="28">
        <v>4560</v>
      </c>
      <c r="L674" s="28">
        <v>228</v>
      </c>
      <c r="M674" s="28">
        <v>0.05</v>
      </c>
      <c r="N674" s="28">
        <v>34200</v>
      </c>
      <c r="O674" s="28">
        <v>0.04</v>
      </c>
      <c r="P674" s="28">
        <v>0.8</v>
      </c>
      <c r="Q674" s="28">
        <v>8.3699999999999992</v>
      </c>
      <c r="R674" s="26"/>
      <c r="S674" s="26"/>
      <c r="T674" s="26"/>
      <c r="U674" s="26"/>
    </row>
    <row r="675" spans="1:21" x14ac:dyDescent="0.3">
      <c r="A675" s="26"/>
      <c r="B675" s="29">
        <v>44975</v>
      </c>
      <c r="C675" s="28" t="s">
        <v>12</v>
      </c>
      <c r="D675" s="28" t="s">
        <v>75</v>
      </c>
      <c r="E675" s="28" t="s">
        <v>47</v>
      </c>
      <c r="F675" s="28" t="s">
        <v>36</v>
      </c>
      <c r="G675" s="28" t="s">
        <v>31</v>
      </c>
      <c r="H675" s="28" t="s">
        <v>85</v>
      </c>
      <c r="I675" s="28">
        <v>2350</v>
      </c>
      <c r="J675" s="28">
        <v>75000</v>
      </c>
      <c r="K675" s="28">
        <v>3750</v>
      </c>
      <c r="L675" s="28">
        <v>188</v>
      </c>
      <c r="M675" s="28">
        <v>0.05</v>
      </c>
      <c r="N675" s="28">
        <v>28125</v>
      </c>
      <c r="O675" s="28">
        <v>0.05</v>
      </c>
      <c r="P675" s="28">
        <v>0.63</v>
      </c>
      <c r="Q675" s="28">
        <v>10.97</v>
      </c>
      <c r="R675" s="26"/>
      <c r="S675" s="26"/>
      <c r="T675" s="26"/>
      <c r="U675" s="26"/>
    </row>
    <row r="676" spans="1:21" x14ac:dyDescent="0.3">
      <c r="A676" s="26"/>
      <c r="B676" s="29">
        <v>44982</v>
      </c>
      <c r="C676" s="28" t="s">
        <v>13</v>
      </c>
      <c r="D676" s="28" t="s">
        <v>82</v>
      </c>
      <c r="E676" s="28" t="s">
        <v>47</v>
      </c>
      <c r="F676" s="28" t="s">
        <v>40</v>
      </c>
      <c r="G676" s="28" t="s">
        <v>33</v>
      </c>
      <c r="H676" s="28" t="s">
        <v>85</v>
      </c>
      <c r="I676" s="28">
        <v>3050</v>
      </c>
      <c r="J676" s="28">
        <v>93000</v>
      </c>
      <c r="K676" s="28">
        <v>3720</v>
      </c>
      <c r="L676" s="28">
        <v>186</v>
      </c>
      <c r="M676" s="28">
        <v>0.05</v>
      </c>
      <c r="N676" s="28">
        <v>27900</v>
      </c>
      <c r="O676" s="28">
        <v>0.04</v>
      </c>
      <c r="P676" s="28">
        <v>0.82</v>
      </c>
      <c r="Q676" s="28">
        <v>8.15</v>
      </c>
      <c r="R676" s="26"/>
      <c r="S676" s="26"/>
      <c r="T676" s="26"/>
      <c r="U676" s="26"/>
    </row>
    <row r="677" spans="1:21" x14ac:dyDescent="0.3">
      <c r="A677" s="26"/>
      <c r="B677" s="29">
        <v>44989</v>
      </c>
      <c r="C677" s="28" t="s">
        <v>12</v>
      </c>
      <c r="D677" s="28" t="s">
        <v>74</v>
      </c>
      <c r="E677" s="28" t="s">
        <v>49</v>
      </c>
      <c r="F677" s="28" t="s">
        <v>45</v>
      </c>
      <c r="G677" s="28" t="s">
        <v>30</v>
      </c>
      <c r="H677" s="28" t="s">
        <v>85</v>
      </c>
      <c r="I677" s="28">
        <v>5700</v>
      </c>
      <c r="J677" s="28">
        <v>61000</v>
      </c>
      <c r="K677" s="28">
        <v>1830</v>
      </c>
      <c r="L677" s="28">
        <v>92</v>
      </c>
      <c r="M677" s="28">
        <v>0.05</v>
      </c>
      <c r="N677" s="28">
        <v>22875</v>
      </c>
      <c r="O677" s="28">
        <v>0.03</v>
      </c>
      <c r="P677" s="28">
        <v>3.11</v>
      </c>
      <c r="Q677" s="28">
        <v>3.01</v>
      </c>
      <c r="R677" s="26"/>
      <c r="S677" s="26"/>
      <c r="T677" s="26"/>
      <c r="U677" s="26"/>
    </row>
    <row r="678" spans="1:21" x14ac:dyDescent="0.3">
      <c r="A678" s="26"/>
      <c r="B678" s="29">
        <v>44996</v>
      </c>
      <c r="C678" s="28" t="s">
        <v>11</v>
      </c>
      <c r="D678" s="28" t="s">
        <v>72</v>
      </c>
      <c r="E678" s="28" t="s">
        <v>47</v>
      </c>
      <c r="F678" s="28" t="s">
        <v>36</v>
      </c>
      <c r="G678" s="28" t="s">
        <v>31</v>
      </c>
      <c r="H678" s="28" t="s">
        <v>85</v>
      </c>
      <c r="I678" s="28">
        <v>2550</v>
      </c>
      <c r="J678" s="28">
        <v>78000</v>
      </c>
      <c r="K678" s="28">
        <v>3900</v>
      </c>
      <c r="L678" s="28">
        <v>195</v>
      </c>
      <c r="M678" s="28">
        <v>0.05</v>
      </c>
      <c r="N678" s="28">
        <v>29250</v>
      </c>
      <c r="O678" s="28">
        <v>0.05</v>
      </c>
      <c r="P678" s="28">
        <v>0.65</v>
      </c>
      <c r="Q678" s="28">
        <v>10.47</v>
      </c>
      <c r="R678" s="26"/>
      <c r="S678" s="26"/>
      <c r="T678" s="26"/>
      <c r="U678" s="26"/>
    </row>
    <row r="679" spans="1:21" x14ac:dyDescent="0.3">
      <c r="A679" s="26"/>
      <c r="B679" s="29">
        <v>45003</v>
      </c>
      <c r="C679" s="28" t="s">
        <v>13</v>
      </c>
      <c r="D679" s="28" t="s">
        <v>74</v>
      </c>
      <c r="E679" s="28" t="s">
        <v>49</v>
      </c>
      <c r="F679" s="28" t="s">
        <v>45</v>
      </c>
      <c r="G679" s="28" t="s">
        <v>32</v>
      </c>
      <c r="H679" s="28" t="s">
        <v>85</v>
      </c>
      <c r="I679" s="28">
        <v>3950</v>
      </c>
      <c r="J679" s="28">
        <v>122000</v>
      </c>
      <c r="K679" s="28">
        <v>4880</v>
      </c>
      <c r="L679" s="28">
        <v>244</v>
      </c>
      <c r="M679" s="28">
        <v>0.05</v>
      </c>
      <c r="N679" s="28">
        <v>36600</v>
      </c>
      <c r="O679" s="28">
        <v>0.04</v>
      </c>
      <c r="P679" s="28">
        <v>0.81</v>
      </c>
      <c r="Q679" s="28">
        <v>8.27</v>
      </c>
      <c r="R679" s="26"/>
      <c r="S679" s="26"/>
      <c r="T679" s="26"/>
      <c r="U679" s="26"/>
    </row>
    <row r="680" spans="1:21" x14ac:dyDescent="0.3">
      <c r="A680" s="26"/>
      <c r="B680" s="29">
        <v>45010</v>
      </c>
      <c r="C680" s="28" t="s">
        <v>13</v>
      </c>
      <c r="D680" s="28" t="s">
        <v>68</v>
      </c>
      <c r="E680" s="28" t="s">
        <v>47</v>
      </c>
      <c r="F680" s="28" t="s">
        <v>45</v>
      </c>
      <c r="G680" s="28" t="s">
        <v>31</v>
      </c>
      <c r="H680" s="28" t="s">
        <v>86</v>
      </c>
      <c r="I680" s="28">
        <v>2750</v>
      </c>
      <c r="J680" s="28">
        <v>83000</v>
      </c>
      <c r="K680" s="28">
        <v>4150</v>
      </c>
      <c r="L680" s="28">
        <v>208</v>
      </c>
      <c r="M680" s="28">
        <v>0.05</v>
      </c>
      <c r="N680" s="28">
        <v>31125</v>
      </c>
      <c r="O680" s="28">
        <v>0.05</v>
      </c>
      <c r="P680" s="28">
        <v>0.66</v>
      </c>
      <c r="Q680" s="28">
        <v>10.32</v>
      </c>
      <c r="R680" s="26"/>
      <c r="S680" s="26"/>
      <c r="T680" s="26"/>
      <c r="U680" s="26"/>
    </row>
    <row r="681" spans="1:21" x14ac:dyDescent="0.3">
      <c r="A681" s="26"/>
      <c r="B681" s="29">
        <v>45017</v>
      </c>
      <c r="C681" s="28" t="s">
        <v>10</v>
      </c>
      <c r="D681" s="28" t="s">
        <v>78</v>
      </c>
      <c r="E681" s="28" t="s">
        <v>48</v>
      </c>
      <c r="F681" s="28" t="s">
        <v>45</v>
      </c>
      <c r="G681" s="28" t="s">
        <v>33</v>
      </c>
      <c r="H681" s="28" t="s">
        <v>86</v>
      </c>
      <c r="I681" s="28">
        <v>3350</v>
      </c>
      <c r="J681" s="28">
        <v>101000</v>
      </c>
      <c r="K681" s="28">
        <v>4040</v>
      </c>
      <c r="L681" s="28">
        <v>202</v>
      </c>
      <c r="M681" s="28">
        <v>0.05</v>
      </c>
      <c r="N681" s="28">
        <v>30300</v>
      </c>
      <c r="O681" s="28">
        <v>0.04</v>
      </c>
      <c r="P681" s="28">
        <v>0.83</v>
      </c>
      <c r="Q681" s="28">
        <v>8.0399999999999991</v>
      </c>
      <c r="R681" s="26"/>
      <c r="S681" s="26"/>
      <c r="T681" s="26"/>
      <c r="U681" s="26"/>
    </row>
    <row r="682" spans="1:21" x14ac:dyDescent="0.3">
      <c r="A682" s="26"/>
      <c r="B682" s="29">
        <v>45024</v>
      </c>
      <c r="C682" s="28" t="s">
        <v>11</v>
      </c>
      <c r="D682" s="28" t="s">
        <v>77</v>
      </c>
      <c r="E682" s="28" t="s">
        <v>49</v>
      </c>
      <c r="F682" s="28" t="s">
        <v>43</v>
      </c>
      <c r="G682" s="28" t="s">
        <v>30</v>
      </c>
      <c r="H682" s="28" t="s">
        <v>86</v>
      </c>
      <c r="I682" s="28">
        <v>5900</v>
      </c>
      <c r="J682" s="28">
        <v>62000</v>
      </c>
      <c r="K682" s="28">
        <v>1860</v>
      </c>
      <c r="L682" s="28">
        <v>93</v>
      </c>
      <c r="M682" s="28">
        <v>0.05</v>
      </c>
      <c r="N682" s="28">
        <v>23250</v>
      </c>
      <c r="O682" s="28">
        <v>0.03</v>
      </c>
      <c r="P682" s="28">
        <v>3.17</v>
      </c>
      <c r="Q682" s="28">
        <v>2.94</v>
      </c>
      <c r="R682" s="26"/>
      <c r="S682" s="26"/>
      <c r="T682" s="26"/>
      <c r="U682" s="26"/>
    </row>
    <row r="683" spans="1:21" x14ac:dyDescent="0.3">
      <c r="A683" s="26"/>
      <c r="B683" s="29">
        <v>45031</v>
      </c>
      <c r="C683" s="28" t="s">
        <v>12</v>
      </c>
      <c r="D683" s="28" t="s">
        <v>68</v>
      </c>
      <c r="E683" s="28" t="s">
        <v>47</v>
      </c>
      <c r="F683" s="28" t="s">
        <v>45</v>
      </c>
      <c r="G683" s="28" t="s">
        <v>31</v>
      </c>
      <c r="H683" s="28" t="s">
        <v>86</v>
      </c>
      <c r="I683" s="28">
        <v>2850</v>
      </c>
      <c r="J683" s="28">
        <v>86000</v>
      </c>
      <c r="K683" s="28">
        <v>4300</v>
      </c>
      <c r="L683" s="28">
        <v>215</v>
      </c>
      <c r="M683" s="28">
        <v>0.05</v>
      </c>
      <c r="N683" s="28">
        <v>32250</v>
      </c>
      <c r="O683" s="28">
        <v>0.05</v>
      </c>
      <c r="P683" s="28">
        <v>0.66</v>
      </c>
      <c r="Q683" s="28">
        <v>10.32</v>
      </c>
      <c r="R683" s="26"/>
      <c r="S683" s="26"/>
      <c r="T683" s="26"/>
      <c r="U683" s="26"/>
    </row>
    <row r="684" spans="1:21" x14ac:dyDescent="0.3">
      <c r="A684" s="26"/>
      <c r="B684" s="29">
        <v>45038</v>
      </c>
      <c r="C684" s="28" t="s">
        <v>10</v>
      </c>
      <c r="D684" s="28" t="s">
        <v>72</v>
      </c>
      <c r="E684" s="28" t="s">
        <v>47</v>
      </c>
      <c r="F684" s="28" t="s">
        <v>40</v>
      </c>
      <c r="G684" s="28" t="s">
        <v>32</v>
      </c>
      <c r="H684" s="28" t="s">
        <v>86</v>
      </c>
      <c r="I684" s="28">
        <v>4050</v>
      </c>
      <c r="J684" s="28">
        <v>125000</v>
      </c>
      <c r="K684" s="28">
        <v>5000</v>
      </c>
      <c r="L684" s="28">
        <v>250</v>
      </c>
      <c r="M684" s="28">
        <v>0.05</v>
      </c>
      <c r="N684" s="28">
        <v>37500</v>
      </c>
      <c r="O684" s="28">
        <v>0.04</v>
      </c>
      <c r="P684" s="28">
        <v>0.81</v>
      </c>
      <c r="Q684" s="28">
        <v>8.26</v>
      </c>
      <c r="R684" s="26"/>
      <c r="S684" s="26"/>
      <c r="T684" s="26"/>
      <c r="U684" s="26"/>
    </row>
    <row r="685" spans="1:21" x14ac:dyDescent="0.3">
      <c r="A685" s="26"/>
      <c r="B685" s="29">
        <v>45045</v>
      </c>
      <c r="C685" s="28" t="s">
        <v>11</v>
      </c>
      <c r="D685" s="28" t="s">
        <v>76</v>
      </c>
      <c r="E685" s="28" t="s">
        <v>49</v>
      </c>
      <c r="F685" s="28" t="s">
        <v>43</v>
      </c>
      <c r="G685" s="28" t="s">
        <v>31</v>
      </c>
      <c r="H685" s="28" t="s">
        <v>86</v>
      </c>
      <c r="I685" s="28">
        <v>2950</v>
      </c>
      <c r="J685" s="28">
        <v>89000</v>
      </c>
      <c r="K685" s="28">
        <v>4450</v>
      </c>
      <c r="L685" s="28">
        <v>222</v>
      </c>
      <c r="M685" s="28">
        <v>0.05</v>
      </c>
      <c r="N685" s="28">
        <v>33375</v>
      </c>
      <c r="O685" s="28">
        <v>0.05</v>
      </c>
      <c r="P685" s="28">
        <v>0.66</v>
      </c>
      <c r="Q685" s="28">
        <v>10.31</v>
      </c>
      <c r="R685" s="26"/>
      <c r="S685" s="26"/>
      <c r="T685" s="26"/>
      <c r="U685" s="26"/>
    </row>
    <row r="686" spans="1:21" x14ac:dyDescent="0.3">
      <c r="A686" s="26"/>
      <c r="B686" s="29">
        <v>45052</v>
      </c>
      <c r="C686" s="28" t="s">
        <v>10</v>
      </c>
      <c r="D686" s="28" t="s">
        <v>67</v>
      </c>
      <c r="E686" s="28" t="s">
        <v>48</v>
      </c>
      <c r="F686" s="28" t="s">
        <v>37</v>
      </c>
      <c r="G686" s="28" t="s">
        <v>33</v>
      </c>
      <c r="H686" s="28" t="s">
        <v>86</v>
      </c>
      <c r="I686" s="28">
        <v>3650</v>
      </c>
      <c r="J686" s="28">
        <v>110000</v>
      </c>
      <c r="K686" s="28">
        <v>4400</v>
      </c>
      <c r="L686" s="28">
        <v>220</v>
      </c>
      <c r="M686" s="28">
        <v>0.05</v>
      </c>
      <c r="N686" s="28">
        <v>33000</v>
      </c>
      <c r="O686" s="28">
        <v>0.04</v>
      </c>
      <c r="P686" s="28">
        <v>0.83</v>
      </c>
      <c r="Q686" s="28">
        <v>8.0399999999999991</v>
      </c>
      <c r="R686" s="26"/>
      <c r="S686" s="26"/>
      <c r="T686" s="26"/>
      <c r="U686" s="26"/>
    </row>
    <row r="687" spans="1:21" x14ac:dyDescent="0.3">
      <c r="A687" s="26"/>
      <c r="B687" s="29">
        <v>45059</v>
      </c>
      <c r="C687" s="28" t="s">
        <v>11</v>
      </c>
      <c r="D687" s="28" t="s">
        <v>75</v>
      </c>
      <c r="E687" s="28" t="s">
        <v>47</v>
      </c>
      <c r="F687" s="28" t="s">
        <v>43</v>
      </c>
      <c r="G687" s="28" t="s">
        <v>30</v>
      </c>
      <c r="H687" s="28" t="s">
        <v>86</v>
      </c>
      <c r="I687" s="28">
        <v>5500</v>
      </c>
      <c r="J687" s="28">
        <v>59000</v>
      </c>
      <c r="K687" s="28">
        <v>1770</v>
      </c>
      <c r="L687" s="28">
        <v>88</v>
      </c>
      <c r="M687" s="28">
        <v>0.05</v>
      </c>
      <c r="N687" s="28">
        <v>22125</v>
      </c>
      <c r="O687" s="28">
        <v>0.03</v>
      </c>
      <c r="P687" s="28">
        <v>3.11</v>
      </c>
      <c r="Q687" s="28">
        <v>3.02</v>
      </c>
      <c r="R687" s="26"/>
      <c r="S687" s="26"/>
      <c r="T687" s="26"/>
      <c r="U687" s="26"/>
    </row>
    <row r="688" spans="1:21" x14ac:dyDescent="0.3">
      <c r="A688" s="26"/>
      <c r="B688" s="29">
        <v>45066</v>
      </c>
      <c r="C688" s="28" t="s">
        <v>12</v>
      </c>
      <c r="D688" s="28" t="s">
        <v>79</v>
      </c>
      <c r="E688" s="28" t="s">
        <v>47</v>
      </c>
      <c r="F688" s="28" t="s">
        <v>43</v>
      </c>
      <c r="G688" s="28" t="s">
        <v>31</v>
      </c>
      <c r="H688" s="28" t="s">
        <v>86</v>
      </c>
      <c r="I688" s="28">
        <v>3050</v>
      </c>
      <c r="J688" s="28">
        <v>92000</v>
      </c>
      <c r="K688" s="28">
        <v>4600</v>
      </c>
      <c r="L688" s="28">
        <v>230</v>
      </c>
      <c r="M688" s="28">
        <v>0.05</v>
      </c>
      <c r="N688" s="28">
        <v>34500</v>
      </c>
      <c r="O688" s="28">
        <v>0.05</v>
      </c>
      <c r="P688" s="28">
        <v>0.66</v>
      </c>
      <c r="Q688" s="28">
        <v>10.31</v>
      </c>
      <c r="R688" s="26"/>
      <c r="S688" s="26"/>
      <c r="T688" s="26"/>
      <c r="U688" s="26"/>
    </row>
    <row r="689" spans="1:21" x14ac:dyDescent="0.3">
      <c r="A689" s="26"/>
      <c r="B689" s="29">
        <v>45073</v>
      </c>
      <c r="C689" s="28" t="s">
        <v>13</v>
      </c>
      <c r="D689" s="28" t="s">
        <v>76</v>
      </c>
      <c r="E689" s="28" t="s">
        <v>49</v>
      </c>
      <c r="F689" s="28" t="s">
        <v>40</v>
      </c>
      <c r="G689" s="28" t="s">
        <v>32</v>
      </c>
      <c r="H689" s="28" t="s">
        <v>86</v>
      </c>
      <c r="I689" s="28">
        <v>4150</v>
      </c>
      <c r="J689" s="28">
        <v>128000</v>
      </c>
      <c r="K689" s="28">
        <v>5120</v>
      </c>
      <c r="L689" s="28">
        <v>256</v>
      </c>
      <c r="M689" s="28">
        <v>0.05</v>
      </c>
      <c r="N689" s="28">
        <v>38400</v>
      </c>
      <c r="O689" s="28">
        <v>0.04</v>
      </c>
      <c r="P689" s="28">
        <v>0.81</v>
      </c>
      <c r="Q689" s="28">
        <v>8.25</v>
      </c>
      <c r="R689" s="26"/>
      <c r="S689" s="26"/>
      <c r="T689" s="26"/>
      <c r="U689" s="26"/>
    </row>
    <row r="690" spans="1:21" x14ac:dyDescent="0.3">
      <c r="A690" s="26"/>
      <c r="B690" s="29">
        <v>45080</v>
      </c>
      <c r="C690" s="28" t="s">
        <v>10</v>
      </c>
      <c r="D690" s="28" t="s">
        <v>65</v>
      </c>
      <c r="E690" s="28" t="s">
        <v>47</v>
      </c>
      <c r="F690" s="28" t="s">
        <v>41</v>
      </c>
      <c r="G690" s="28" t="s">
        <v>31</v>
      </c>
      <c r="H690" s="28" t="s">
        <v>86</v>
      </c>
      <c r="I690" s="28">
        <v>3150</v>
      </c>
      <c r="J690" s="28">
        <v>95000</v>
      </c>
      <c r="K690" s="28">
        <v>4750</v>
      </c>
      <c r="L690" s="28">
        <v>238</v>
      </c>
      <c r="M690" s="28">
        <v>0.05</v>
      </c>
      <c r="N690" s="28">
        <v>35625</v>
      </c>
      <c r="O690" s="28">
        <v>0.05</v>
      </c>
      <c r="P690" s="28">
        <v>0.66</v>
      </c>
      <c r="Q690" s="28">
        <v>10.31</v>
      </c>
      <c r="R690" s="26"/>
      <c r="S690" s="26"/>
      <c r="T690" s="26"/>
      <c r="U690" s="26"/>
    </row>
    <row r="691" spans="1:21" x14ac:dyDescent="0.3">
      <c r="A691" s="26"/>
      <c r="B691" s="29">
        <v>45087</v>
      </c>
      <c r="C691" s="28" t="s">
        <v>12</v>
      </c>
      <c r="D691" s="28" t="s">
        <v>75</v>
      </c>
      <c r="E691" s="28" t="s">
        <v>47</v>
      </c>
      <c r="F691" s="28" t="s">
        <v>39</v>
      </c>
      <c r="G691" s="28" t="s">
        <v>33</v>
      </c>
      <c r="H691" s="28" t="s">
        <v>86</v>
      </c>
      <c r="I691" s="28">
        <v>3750</v>
      </c>
      <c r="J691" s="28">
        <v>113000</v>
      </c>
      <c r="K691" s="28">
        <v>4520</v>
      </c>
      <c r="L691" s="28">
        <v>226</v>
      </c>
      <c r="M691" s="28">
        <v>0.05</v>
      </c>
      <c r="N691" s="28">
        <v>33900</v>
      </c>
      <c r="O691" s="28">
        <v>0.04</v>
      </c>
      <c r="P691" s="28">
        <v>0.83</v>
      </c>
      <c r="Q691" s="28">
        <v>8.0399999999999991</v>
      </c>
      <c r="R691" s="26"/>
      <c r="S691" s="26"/>
      <c r="T691" s="26"/>
      <c r="U691" s="26"/>
    </row>
    <row r="692" spans="1:21" x14ac:dyDescent="0.3">
      <c r="A692" s="26"/>
      <c r="B692" s="29">
        <v>45094</v>
      </c>
      <c r="C692" s="28" t="s">
        <v>12</v>
      </c>
      <c r="D692" s="28" t="s">
        <v>67</v>
      </c>
      <c r="E692" s="28" t="s">
        <v>48</v>
      </c>
      <c r="F692" s="28" t="s">
        <v>45</v>
      </c>
      <c r="G692" s="28" t="s">
        <v>30</v>
      </c>
      <c r="H692" s="28" t="s">
        <v>86</v>
      </c>
      <c r="I692" s="28">
        <v>6000</v>
      </c>
      <c r="J692" s="28">
        <v>63000</v>
      </c>
      <c r="K692" s="28">
        <v>1890</v>
      </c>
      <c r="L692" s="28">
        <v>94</v>
      </c>
      <c r="M692" s="28">
        <v>0.05</v>
      </c>
      <c r="N692" s="28">
        <v>23625</v>
      </c>
      <c r="O692" s="28">
        <v>0.03</v>
      </c>
      <c r="P692" s="28">
        <v>3.17</v>
      </c>
      <c r="Q692" s="28">
        <v>2.94</v>
      </c>
      <c r="R692" s="26"/>
      <c r="S692" s="26"/>
      <c r="T692" s="26"/>
      <c r="U692" s="26"/>
    </row>
    <row r="693" spans="1:21" x14ac:dyDescent="0.3">
      <c r="A693" s="26"/>
      <c r="B693" s="29">
        <v>45101</v>
      </c>
      <c r="C693" s="28" t="s">
        <v>10</v>
      </c>
      <c r="D693" s="28" t="s">
        <v>73</v>
      </c>
      <c r="E693" s="28" t="s">
        <v>47</v>
      </c>
      <c r="F693" s="28" t="s">
        <v>34</v>
      </c>
      <c r="G693" s="28" t="s">
        <v>31</v>
      </c>
      <c r="H693" s="28" t="s">
        <v>86</v>
      </c>
      <c r="I693" s="28">
        <v>3250</v>
      </c>
      <c r="J693" s="28">
        <v>98000</v>
      </c>
      <c r="K693" s="28">
        <v>4900</v>
      </c>
      <c r="L693" s="28">
        <v>245</v>
      </c>
      <c r="M693" s="28">
        <v>0.05</v>
      </c>
      <c r="N693" s="28">
        <v>36750</v>
      </c>
      <c r="O693" s="28">
        <v>0.05</v>
      </c>
      <c r="P693" s="28">
        <v>0.66</v>
      </c>
      <c r="Q693" s="28">
        <v>10.31</v>
      </c>
      <c r="R693" s="26"/>
      <c r="S693" s="26"/>
      <c r="T693" s="26"/>
      <c r="U693" s="26"/>
    </row>
    <row r="694" spans="1:21" x14ac:dyDescent="0.3">
      <c r="A694" s="26"/>
      <c r="B694" s="29">
        <v>45108</v>
      </c>
      <c r="C694" s="28" t="s">
        <v>13</v>
      </c>
      <c r="D694" s="28" t="s">
        <v>71</v>
      </c>
      <c r="E694" s="28" t="s">
        <v>48</v>
      </c>
      <c r="F694" s="28" t="s">
        <v>45</v>
      </c>
      <c r="G694" s="28" t="s">
        <v>32</v>
      </c>
      <c r="H694" s="28" t="s">
        <v>87</v>
      </c>
      <c r="I694" s="28">
        <v>4250</v>
      </c>
      <c r="J694" s="28">
        <v>131000</v>
      </c>
      <c r="K694" s="28">
        <v>5240</v>
      </c>
      <c r="L694" s="28">
        <v>262</v>
      </c>
      <c r="M694" s="28">
        <v>0.05</v>
      </c>
      <c r="N694" s="28">
        <v>39300</v>
      </c>
      <c r="O694" s="28">
        <v>0.04</v>
      </c>
      <c r="P694" s="28">
        <v>0.81</v>
      </c>
      <c r="Q694" s="28">
        <v>8.25</v>
      </c>
      <c r="R694" s="26"/>
      <c r="S694" s="26"/>
      <c r="T694" s="26"/>
      <c r="U694" s="26"/>
    </row>
    <row r="695" spans="1:21" x14ac:dyDescent="0.3">
      <c r="A695" s="26"/>
      <c r="B695" s="29">
        <v>45115</v>
      </c>
      <c r="C695" s="28" t="s">
        <v>12</v>
      </c>
      <c r="D695" s="28" t="s">
        <v>81</v>
      </c>
      <c r="E695" s="28" t="s">
        <v>48</v>
      </c>
      <c r="F695" s="28" t="s">
        <v>45</v>
      </c>
      <c r="G695" s="28" t="s">
        <v>31</v>
      </c>
      <c r="H695" s="28" t="s">
        <v>87</v>
      </c>
      <c r="I695" s="28">
        <v>3350</v>
      </c>
      <c r="J695" s="28">
        <v>101000</v>
      </c>
      <c r="K695" s="28">
        <v>5050</v>
      </c>
      <c r="L695" s="28">
        <v>252</v>
      </c>
      <c r="M695" s="28">
        <v>0.05</v>
      </c>
      <c r="N695" s="28">
        <v>37875</v>
      </c>
      <c r="O695" s="28">
        <v>0.05</v>
      </c>
      <c r="P695" s="28">
        <v>0.66</v>
      </c>
      <c r="Q695" s="28">
        <v>10.31</v>
      </c>
      <c r="R695" s="26"/>
      <c r="S695" s="26"/>
      <c r="T695" s="26"/>
      <c r="U695" s="26"/>
    </row>
    <row r="696" spans="1:21" x14ac:dyDescent="0.3">
      <c r="A696" s="26"/>
      <c r="B696" s="29">
        <v>45122</v>
      </c>
      <c r="C696" s="28" t="s">
        <v>13</v>
      </c>
      <c r="D696" s="28" t="s">
        <v>69</v>
      </c>
      <c r="E696" s="28" t="s">
        <v>47</v>
      </c>
      <c r="F696" s="28" t="s">
        <v>40</v>
      </c>
      <c r="G696" s="28" t="s">
        <v>33</v>
      </c>
      <c r="H696" s="28" t="s">
        <v>87</v>
      </c>
      <c r="I696" s="28">
        <v>3850</v>
      </c>
      <c r="J696" s="28">
        <v>117000</v>
      </c>
      <c r="K696" s="28">
        <v>4680</v>
      </c>
      <c r="L696" s="28">
        <v>234</v>
      </c>
      <c r="M696" s="28">
        <v>0.05</v>
      </c>
      <c r="N696" s="28">
        <v>35100</v>
      </c>
      <c r="O696" s="28">
        <v>0.04</v>
      </c>
      <c r="P696" s="28">
        <v>0.82</v>
      </c>
      <c r="Q696" s="28">
        <v>8.1199999999999992</v>
      </c>
      <c r="R696" s="26"/>
      <c r="S696" s="26"/>
      <c r="T696" s="26"/>
      <c r="U696" s="26"/>
    </row>
    <row r="697" spans="1:21" x14ac:dyDescent="0.3">
      <c r="A697" s="26"/>
      <c r="B697" s="29">
        <v>45129</v>
      </c>
      <c r="C697" s="28" t="s">
        <v>12</v>
      </c>
      <c r="D697" s="28" t="s">
        <v>72</v>
      </c>
      <c r="E697" s="28" t="s">
        <v>47</v>
      </c>
      <c r="F697" s="28" t="s">
        <v>38</v>
      </c>
      <c r="G697" s="28" t="s">
        <v>30</v>
      </c>
      <c r="H697" s="28" t="s">
        <v>87</v>
      </c>
      <c r="I697" s="28">
        <v>6100</v>
      </c>
      <c r="J697" s="28">
        <v>64000</v>
      </c>
      <c r="K697" s="28">
        <v>1920</v>
      </c>
      <c r="L697" s="28">
        <v>96</v>
      </c>
      <c r="M697" s="28">
        <v>0.05</v>
      </c>
      <c r="N697" s="28">
        <v>24000</v>
      </c>
      <c r="O697" s="28">
        <v>0.03</v>
      </c>
      <c r="P697" s="28">
        <v>3.18</v>
      </c>
      <c r="Q697" s="28">
        <v>2.93</v>
      </c>
      <c r="R697" s="26"/>
      <c r="S697" s="26"/>
      <c r="T697" s="26"/>
      <c r="U697" s="26"/>
    </row>
    <row r="698" spans="1:21" x14ac:dyDescent="0.3">
      <c r="A698" s="26"/>
      <c r="B698" s="29">
        <v>45136</v>
      </c>
      <c r="C698" s="28" t="s">
        <v>12</v>
      </c>
      <c r="D698" s="28" t="s">
        <v>70</v>
      </c>
      <c r="E698" s="28" t="s">
        <v>49</v>
      </c>
      <c r="F698" s="28" t="s">
        <v>43</v>
      </c>
      <c r="G698" s="28" t="s">
        <v>31</v>
      </c>
      <c r="H698" s="28" t="s">
        <v>87</v>
      </c>
      <c r="I698" s="28">
        <v>3450</v>
      </c>
      <c r="J698" s="28">
        <v>104000</v>
      </c>
      <c r="K698" s="28">
        <v>5200</v>
      </c>
      <c r="L698" s="28">
        <v>260</v>
      </c>
      <c r="M698" s="28">
        <v>0.05</v>
      </c>
      <c r="N698" s="28">
        <v>39000</v>
      </c>
      <c r="O698" s="28">
        <v>0.05</v>
      </c>
      <c r="P698" s="28">
        <v>0.66</v>
      </c>
      <c r="Q698" s="28">
        <v>10.3</v>
      </c>
      <c r="R698" s="26"/>
      <c r="S698" s="26"/>
      <c r="T698" s="26"/>
      <c r="U698" s="26"/>
    </row>
    <row r="699" spans="1:21" x14ac:dyDescent="0.3">
      <c r="A699" s="26"/>
      <c r="B699" s="29">
        <v>45143</v>
      </c>
      <c r="C699" s="28" t="s">
        <v>12</v>
      </c>
      <c r="D699" s="28" t="s">
        <v>66</v>
      </c>
      <c r="E699" s="28" t="s">
        <v>48</v>
      </c>
      <c r="F699" s="28" t="s">
        <v>45</v>
      </c>
      <c r="G699" s="28" t="s">
        <v>32</v>
      </c>
      <c r="H699" s="28" t="s">
        <v>87</v>
      </c>
      <c r="I699" s="28">
        <v>4350</v>
      </c>
      <c r="J699" s="28">
        <v>134000</v>
      </c>
      <c r="K699" s="28">
        <v>5360</v>
      </c>
      <c r="L699" s="28">
        <v>268</v>
      </c>
      <c r="M699" s="28">
        <v>0.05</v>
      </c>
      <c r="N699" s="28">
        <v>40200</v>
      </c>
      <c r="O699" s="28">
        <v>0.04</v>
      </c>
      <c r="P699" s="28">
        <v>0.81</v>
      </c>
      <c r="Q699" s="28">
        <v>8.24</v>
      </c>
      <c r="R699" s="26"/>
      <c r="S699" s="26"/>
      <c r="T699" s="26"/>
      <c r="U699" s="26"/>
    </row>
    <row r="700" spans="1:21" x14ac:dyDescent="0.3">
      <c r="A700" s="26"/>
      <c r="B700" s="29">
        <v>45150</v>
      </c>
      <c r="C700" s="28" t="s">
        <v>10</v>
      </c>
      <c r="D700" s="28" t="s">
        <v>65</v>
      </c>
      <c r="E700" s="28" t="s">
        <v>47</v>
      </c>
      <c r="F700" s="28" t="s">
        <v>45</v>
      </c>
      <c r="G700" s="28" t="s">
        <v>31</v>
      </c>
      <c r="H700" s="28" t="s">
        <v>87</v>
      </c>
      <c r="I700" s="28">
        <v>3550</v>
      </c>
      <c r="J700" s="28">
        <v>107000</v>
      </c>
      <c r="K700" s="28">
        <v>5350</v>
      </c>
      <c r="L700" s="28">
        <v>268</v>
      </c>
      <c r="M700" s="28">
        <v>0.05</v>
      </c>
      <c r="N700" s="28">
        <v>40125</v>
      </c>
      <c r="O700" s="28">
        <v>0.05</v>
      </c>
      <c r="P700" s="28">
        <v>0.66</v>
      </c>
      <c r="Q700" s="28">
        <v>10.3</v>
      </c>
      <c r="R700" s="26"/>
      <c r="S700" s="26"/>
      <c r="T700" s="26"/>
      <c r="U700" s="26"/>
    </row>
    <row r="701" spans="1:21" x14ac:dyDescent="0.3">
      <c r="A701" s="26"/>
      <c r="B701" s="29">
        <v>45157</v>
      </c>
      <c r="C701" s="28" t="s">
        <v>11</v>
      </c>
      <c r="D701" s="28" t="s">
        <v>83</v>
      </c>
      <c r="E701" s="28" t="s">
        <v>49</v>
      </c>
      <c r="F701" s="28" t="s">
        <v>44</v>
      </c>
      <c r="G701" s="28" t="s">
        <v>33</v>
      </c>
      <c r="H701" s="28" t="s">
        <v>87</v>
      </c>
      <c r="I701" s="28">
        <v>3950</v>
      </c>
      <c r="J701" s="28">
        <v>120000</v>
      </c>
      <c r="K701" s="28">
        <v>4800</v>
      </c>
      <c r="L701" s="28">
        <v>240</v>
      </c>
      <c r="M701" s="28">
        <v>0.05</v>
      </c>
      <c r="N701" s="28">
        <v>36000</v>
      </c>
      <c r="O701" s="28">
        <v>0.04</v>
      </c>
      <c r="P701" s="28">
        <v>0.82</v>
      </c>
      <c r="Q701" s="28">
        <v>8.11</v>
      </c>
      <c r="R701" s="26"/>
      <c r="S701" s="26"/>
      <c r="T701" s="26"/>
      <c r="U701" s="26"/>
    </row>
    <row r="702" spans="1:21" x14ac:dyDescent="0.3">
      <c r="A702" s="26"/>
      <c r="B702" s="29">
        <v>45164</v>
      </c>
      <c r="C702" s="28" t="s">
        <v>11</v>
      </c>
      <c r="D702" s="28" t="s">
        <v>83</v>
      </c>
      <c r="E702" s="28" t="s">
        <v>49</v>
      </c>
      <c r="F702" s="28" t="s">
        <v>40</v>
      </c>
      <c r="G702" s="28" t="s">
        <v>30</v>
      </c>
      <c r="H702" s="28" t="s">
        <v>87</v>
      </c>
      <c r="I702" s="28">
        <v>6200</v>
      </c>
      <c r="J702" s="28">
        <v>65000</v>
      </c>
      <c r="K702" s="28">
        <v>1950</v>
      </c>
      <c r="L702" s="28">
        <v>98</v>
      </c>
      <c r="M702" s="28">
        <v>0.05</v>
      </c>
      <c r="N702" s="28">
        <v>24375</v>
      </c>
      <c r="O702" s="28">
        <v>0.03</v>
      </c>
      <c r="P702" s="28">
        <v>3.18</v>
      </c>
      <c r="Q702" s="28">
        <v>2.93</v>
      </c>
      <c r="R702" s="26"/>
      <c r="S702" s="26"/>
      <c r="T702" s="26"/>
      <c r="U702" s="26"/>
    </row>
    <row r="703" spans="1:21" x14ac:dyDescent="0.3">
      <c r="A703" s="26"/>
      <c r="B703" s="29">
        <v>45171</v>
      </c>
      <c r="C703" s="28" t="s">
        <v>13</v>
      </c>
      <c r="D703" s="28" t="s">
        <v>82</v>
      </c>
      <c r="E703" s="28" t="s">
        <v>47</v>
      </c>
      <c r="F703" s="28" t="s">
        <v>43</v>
      </c>
      <c r="G703" s="28" t="s">
        <v>31</v>
      </c>
      <c r="H703" s="28" t="s">
        <v>87</v>
      </c>
      <c r="I703" s="28">
        <v>3650</v>
      </c>
      <c r="J703" s="28">
        <v>110000</v>
      </c>
      <c r="K703" s="28">
        <v>5500</v>
      </c>
      <c r="L703" s="28">
        <v>275</v>
      </c>
      <c r="M703" s="28">
        <v>0.05</v>
      </c>
      <c r="N703" s="28">
        <v>41250</v>
      </c>
      <c r="O703" s="28">
        <v>0.05</v>
      </c>
      <c r="P703" s="28">
        <v>0.66</v>
      </c>
      <c r="Q703" s="28">
        <v>10.3</v>
      </c>
      <c r="R703" s="26"/>
      <c r="S703" s="26"/>
      <c r="T703" s="26"/>
      <c r="U703" s="26"/>
    </row>
    <row r="704" spans="1:21" x14ac:dyDescent="0.3">
      <c r="A704" s="26"/>
      <c r="B704" s="29">
        <v>45178</v>
      </c>
      <c r="C704" s="28" t="s">
        <v>13</v>
      </c>
      <c r="D704" s="28" t="s">
        <v>65</v>
      </c>
      <c r="E704" s="28" t="s">
        <v>47</v>
      </c>
      <c r="F704" s="28" t="s">
        <v>40</v>
      </c>
      <c r="G704" s="28" t="s">
        <v>32</v>
      </c>
      <c r="H704" s="28" t="s">
        <v>87</v>
      </c>
      <c r="I704" s="28">
        <v>4450</v>
      </c>
      <c r="J704" s="28">
        <v>137000</v>
      </c>
      <c r="K704" s="28">
        <v>5480</v>
      </c>
      <c r="L704" s="28">
        <v>274</v>
      </c>
      <c r="M704" s="28">
        <v>0.05</v>
      </c>
      <c r="N704" s="28">
        <v>41100</v>
      </c>
      <c r="O704" s="28">
        <v>0.04</v>
      </c>
      <c r="P704" s="28">
        <v>0.81</v>
      </c>
      <c r="Q704" s="28">
        <v>8.24</v>
      </c>
      <c r="R704" s="26"/>
      <c r="S704" s="26"/>
      <c r="T704" s="26"/>
      <c r="U704" s="26"/>
    </row>
    <row r="705" spans="1:21" x14ac:dyDescent="0.3">
      <c r="A705" s="26"/>
      <c r="B705" s="29">
        <v>45185</v>
      </c>
      <c r="C705" s="28" t="s">
        <v>13</v>
      </c>
      <c r="D705" s="28" t="s">
        <v>76</v>
      </c>
      <c r="E705" s="28" t="s">
        <v>49</v>
      </c>
      <c r="F705" s="28" t="s">
        <v>42</v>
      </c>
      <c r="G705" s="28" t="s">
        <v>31</v>
      </c>
      <c r="H705" s="28" t="s">
        <v>87</v>
      </c>
      <c r="I705" s="28">
        <v>3750</v>
      </c>
      <c r="J705" s="28">
        <v>113000</v>
      </c>
      <c r="K705" s="28">
        <v>5650</v>
      </c>
      <c r="L705" s="28">
        <v>282</v>
      </c>
      <c r="M705" s="28">
        <v>0.05</v>
      </c>
      <c r="N705" s="28">
        <v>42375</v>
      </c>
      <c r="O705" s="28">
        <v>0.05</v>
      </c>
      <c r="P705" s="28">
        <v>0.66</v>
      </c>
      <c r="Q705" s="28">
        <v>10.3</v>
      </c>
      <c r="R705" s="26"/>
      <c r="S705" s="26"/>
      <c r="T705" s="26"/>
      <c r="U705" s="26"/>
    </row>
    <row r="706" spans="1:21" x14ac:dyDescent="0.3">
      <c r="A706" s="26"/>
      <c r="B706" s="29">
        <v>45192</v>
      </c>
      <c r="C706" s="28" t="s">
        <v>13</v>
      </c>
      <c r="D706" s="28" t="s">
        <v>70</v>
      </c>
      <c r="E706" s="28" t="s">
        <v>49</v>
      </c>
      <c r="F706" s="28" t="s">
        <v>40</v>
      </c>
      <c r="G706" s="28" t="s">
        <v>33</v>
      </c>
      <c r="H706" s="28" t="s">
        <v>88</v>
      </c>
      <c r="I706" s="28">
        <v>4050</v>
      </c>
      <c r="J706" s="28">
        <v>123000</v>
      </c>
      <c r="K706" s="28">
        <v>4920</v>
      </c>
      <c r="L706" s="28">
        <v>246</v>
      </c>
      <c r="M706" s="28">
        <v>0.05</v>
      </c>
      <c r="N706" s="28">
        <v>36900</v>
      </c>
      <c r="O706" s="28">
        <v>0.04</v>
      </c>
      <c r="P706" s="28">
        <v>0.82</v>
      </c>
      <c r="Q706" s="28">
        <v>8.11</v>
      </c>
      <c r="R706" s="26"/>
      <c r="S706" s="26"/>
      <c r="T706" s="26"/>
      <c r="U706" s="26"/>
    </row>
    <row r="707" spans="1:21" x14ac:dyDescent="0.3">
      <c r="A707" s="26"/>
      <c r="B707" s="29">
        <v>45199</v>
      </c>
      <c r="C707" s="28" t="s">
        <v>10</v>
      </c>
      <c r="D707" s="28" t="s">
        <v>77</v>
      </c>
      <c r="E707" s="28" t="s">
        <v>49</v>
      </c>
      <c r="F707" s="28" t="s">
        <v>41</v>
      </c>
      <c r="G707" s="28" t="s">
        <v>30</v>
      </c>
      <c r="H707" s="28" t="s">
        <v>88</v>
      </c>
      <c r="I707" s="28">
        <v>6300</v>
      </c>
      <c r="J707" s="28">
        <v>66000</v>
      </c>
      <c r="K707" s="28">
        <v>1980</v>
      </c>
      <c r="L707" s="28">
        <v>99</v>
      </c>
      <c r="M707" s="28">
        <v>0.05</v>
      </c>
      <c r="N707" s="28">
        <v>24750</v>
      </c>
      <c r="O707" s="28">
        <v>0.03</v>
      </c>
      <c r="P707" s="28">
        <v>3.18</v>
      </c>
      <c r="Q707" s="28">
        <v>2.93</v>
      </c>
      <c r="R707" s="26"/>
      <c r="S707" s="26"/>
      <c r="T707" s="26"/>
      <c r="U707" s="26"/>
    </row>
    <row r="708" spans="1:21" x14ac:dyDescent="0.3">
      <c r="A708" s="26"/>
      <c r="B708" s="29">
        <v>45206</v>
      </c>
      <c r="C708" s="28" t="s">
        <v>12</v>
      </c>
      <c r="D708" s="28" t="s">
        <v>78</v>
      </c>
      <c r="E708" s="28" t="s">
        <v>48</v>
      </c>
      <c r="F708" s="28" t="s">
        <v>36</v>
      </c>
      <c r="G708" s="28" t="s">
        <v>31</v>
      </c>
      <c r="H708" s="28" t="s">
        <v>88</v>
      </c>
      <c r="I708" s="28">
        <v>3850</v>
      </c>
      <c r="J708" s="28">
        <v>116000</v>
      </c>
      <c r="K708" s="28">
        <v>5800</v>
      </c>
      <c r="L708" s="28">
        <v>290</v>
      </c>
      <c r="M708" s="28">
        <v>0.05</v>
      </c>
      <c r="N708" s="28">
        <v>43500</v>
      </c>
      <c r="O708" s="28">
        <v>0.05</v>
      </c>
      <c r="P708" s="28">
        <v>0.66</v>
      </c>
      <c r="Q708" s="28">
        <v>10.3</v>
      </c>
      <c r="R708" s="26"/>
      <c r="S708" s="26"/>
      <c r="T708" s="26"/>
      <c r="U708" s="26"/>
    </row>
    <row r="709" spans="1:21" x14ac:dyDescent="0.3">
      <c r="A709" s="26"/>
      <c r="B709" s="29">
        <v>45213</v>
      </c>
      <c r="C709" s="28" t="s">
        <v>12</v>
      </c>
      <c r="D709" s="28" t="s">
        <v>66</v>
      </c>
      <c r="E709" s="28" t="s">
        <v>48</v>
      </c>
      <c r="F709" s="28" t="s">
        <v>36</v>
      </c>
      <c r="G709" s="28" t="s">
        <v>32</v>
      </c>
      <c r="H709" s="28" t="s">
        <v>88</v>
      </c>
      <c r="I709" s="28">
        <v>4550</v>
      </c>
      <c r="J709" s="28">
        <v>140000</v>
      </c>
      <c r="K709" s="28">
        <v>5600</v>
      </c>
      <c r="L709" s="28">
        <v>280</v>
      </c>
      <c r="M709" s="28">
        <v>0.05</v>
      </c>
      <c r="N709" s="28">
        <v>42000</v>
      </c>
      <c r="O709" s="28">
        <v>0.04</v>
      </c>
      <c r="P709" s="28">
        <v>0.81</v>
      </c>
      <c r="Q709" s="28">
        <v>8.23</v>
      </c>
      <c r="R709" s="26"/>
      <c r="S709" s="26"/>
      <c r="T709" s="26"/>
      <c r="U709" s="26"/>
    </row>
    <row r="710" spans="1:21" x14ac:dyDescent="0.3">
      <c r="A710" s="26"/>
      <c r="B710" s="29">
        <v>45220</v>
      </c>
      <c r="C710" s="28" t="s">
        <v>10</v>
      </c>
      <c r="D710" s="28" t="s">
        <v>68</v>
      </c>
      <c r="E710" s="28" t="s">
        <v>47</v>
      </c>
      <c r="F710" s="28" t="s">
        <v>36</v>
      </c>
      <c r="G710" s="28" t="s">
        <v>31</v>
      </c>
      <c r="H710" s="28" t="s">
        <v>88</v>
      </c>
      <c r="I710" s="28">
        <v>3950</v>
      </c>
      <c r="J710" s="28">
        <v>119000</v>
      </c>
      <c r="K710" s="28">
        <v>5950</v>
      </c>
      <c r="L710" s="28">
        <v>298</v>
      </c>
      <c r="M710" s="28">
        <v>0.05</v>
      </c>
      <c r="N710" s="28">
        <v>44625</v>
      </c>
      <c r="O710" s="28">
        <v>0.05</v>
      </c>
      <c r="P710" s="28">
        <v>0.66</v>
      </c>
      <c r="Q710" s="28">
        <v>10.3</v>
      </c>
      <c r="R710" s="26"/>
      <c r="S710" s="26"/>
      <c r="T710" s="26"/>
      <c r="U710" s="26"/>
    </row>
    <row r="711" spans="1:21" x14ac:dyDescent="0.3">
      <c r="A711" s="26"/>
      <c r="B711" s="29">
        <v>45227</v>
      </c>
      <c r="C711" s="28" t="s">
        <v>12</v>
      </c>
      <c r="D711" s="28" t="s">
        <v>78</v>
      </c>
      <c r="E711" s="28" t="s">
        <v>48</v>
      </c>
      <c r="F711" s="28" t="s">
        <v>40</v>
      </c>
      <c r="G711" s="28" t="s">
        <v>33</v>
      </c>
      <c r="H711" s="28" t="s">
        <v>88</v>
      </c>
      <c r="I711" s="28">
        <v>4150</v>
      </c>
      <c r="J711" s="28">
        <v>126000</v>
      </c>
      <c r="K711" s="28">
        <v>5040</v>
      </c>
      <c r="L711" s="28">
        <v>252</v>
      </c>
      <c r="M711" s="28">
        <v>0.05</v>
      </c>
      <c r="N711" s="28">
        <v>37800</v>
      </c>
      <c r="O711" s="28">
        <v>0.04</v>
      </c>
      <c r="P711" s="28">
        <v>0.82</v>
      </c>
      <c r="Q711" s="28">
        <v>8.11</v>
      </c>
      <c r="R711" s="26"/>
      <c r="S711" s="26"/>
      <c r="T711" s="26"/>
      <c r="U711" s="26"/>
    </row>
    <row r="712" spans="1:21" x14ac:dyDescent="0.3">
      <c r="A712" s="26"/>
      <c r="B712" s="29">
        <v>45234</v>
      </c>
      <c r="C712" s="28" t="s">
        <v>10</v>
      </c>
      <c r="D712" s="28" t="s">
        <v>72</v>
      </c>
      <c r="E712" s="28" t="s">
        <v>47</v>
      </c>
      <c r="F712" s="28" t="s">
        <v>42</v>
      </c>
      <c r="G712" s="28" t="s">
        <v>30</v>
      </c>
      <c r="H712" s="28" t="s">
        <v>88</v>
      </c>
      <c r="I712" s="28">
        <v>6400</v>
      </c>
      <c r="J712" s="28">
        <v>67000</v>
      </c>
      <c r="K712" s="28">
        <v>2010</v>
      </c>
      <c r="L712" s="28">
        <v>100</v>
      </c>
      <c r="M712" s="28">
        <v>0.05</v>
      </c>
      <c r="N712" s="28">
        <v>25125</v>
      </c>
      <c r="O712" s="28">
        <v>0.03</v>
      </c>
      <c r="P712" s="28">
        <v>3.18</v>
      </c>
      <c r="Q712" s="28">
        <v>2.93</v>
      </c>
      <c r="R712" s="26"/>
      <c r="S712" s="26"/>
      <c r="T712" s="26"/>
      <c r="U712" s="26"/>
    </row>
    <row r="713" spans="1:21" x14ac:dyDescent="0.3">
      <c r="A713" s="26"/>
      <c r="B713" s="29">
        <v>45241</v>
      </c>
      <c r="C713" s="28" t="s">
        <v>11</v>
      </c>
      <c r="D713" s="28" t="s">
        <v>73</v>
      </c>
      <c r="E713" s="28" t="s">
        <v>47</v>
      </c>
      <c r="F713" s="28" t="s">
        <v>41</v>
      </c>
      <c r="G713" s="28" t="s">
        <v>31</v>
      </c>
      <c r="H713" s="28" t="s">
        <v>88</v>
      </c>
      <c r="I713" s="28">
        <v>4050</v>
      </c>
      <c r="J713" s="28">
        <v>122000</v>
      </c>
      <c r="K713" s="28">
        <v>6100</v>
      </c>
      <c r="L713" s="28">
        <v>305</v>
      </c>
      <c r="M713" s="28">
        <v>0.05</v>
      </c>
      <c r="N713" s="28">
        <v>45750</v>
      </c>
      <c r="O713" s="28">
        <v>0.05</v>
      </c>
      <c r="P713" s="28">
        <v>0.66</v>
      </c>
      <c r="Q713" s="28">
        <v>10.3</v>
      </c>
      <c r="R713" s="26"/>
      <c r="S713" s="26"/>
      <c r="T713" s="26"/>
      <c r="U713" s="26"/>
    </row>
    <row r="714" spans="1:21" x14ac:dyDescent="0.3">
      <c r="A714" s="26"/>
      <c r="B714" s="29">
        <v>45248</v>
      </c>
      <c r="C714" s="28" t="s">
        <v>10</v>
      </c>
      <c r="D714" s="28" t="s">
        <v>74</v>
      </c>
      <c r="E714" s="28" t="s">
        <v>49</v>
      </c>
      <c r="F714" s="28" t="s">
        <v>41</v>
      </c>
      <c r="G714" s="28" t="s">
        <v>32</v>
      </c>
      <c r="H714" s="28" t="s">
        <v>88</v>
      </c>
      <c r="I714" s="28">
        <v>4650</v>
      </c>
      <c r="J714" s="28">
        <v>143000</v>
      </c>
      <c r="K714" s="28">
        <v>5720</v>
      </c>
      <c r="L714" s="28">
        <v>286</v>
      </c>
      <c r="M714" s="28">
        <v>0.05</v>
      </c>
      <c r="N714" s="28">
        <v>42900</v>
      </c>
      <c r="O714" s="28">
        <v>0.04</v>
      </c>
      <c r="P714" s="28">
        <v>0.81</v>
      </c>
      <c r="Q714" s="28">
        <v>8.23</v>
      </c>
      <c r="R714" s="26"/>
      <c r="S714" s="26"/>
      <c r="T714" s="26"/>
      <c r="U714" s="26"/>
    </row>
    <row r="715" spans="1:21" x14ac:dyDescent="0.3">
      <c r="A715" s="26"/>
      <c r="B715" s="29">
        <v>45255</v>
      </c>
      <c r="C715" s="28" t="s">
        <v>11</v>
      </c>
      <c r="D715" s="28" t="s">
        <v>76</v>
      </c>
      <c r="E715" s="28" t="s">
        <v>49</v>
      </c>
      <c r="F715" s="28" t="s">
        <v>42</v>
      </c>
      <c r="G715" s="28" t="s">
        <v>31</v>
      </c>
      <c r="H715" s="28" t="s">
        <v>88</v>
      </c>
      <c r="I715" s="28">
        <v>4250</v>
      </c>
      <c r="J715" s="28">
        <v>128000</v>
      </c>
      <c r="K715" s="28">
        <v>6400</v>
      </c>
      <c r="L715" s="28">
        <v>320</v>
      </c>
      <c r="M715" s="28">
        <v>0.05</v>
      </c>
      <c r="N715" s="28">
        <v>48000</v>
      </c>
      <c r="O715" s="28">
        <v>0.05</v>
      </c>
      <c r="P715" s="28">
        <v>0.66</v>
      </c>
      <c r="Q715" s="28">
        <v>10.29</v>
      </c>
      <c r="R715" s="26"/>
      <c r="S715" s="26"/>
      <c r="T715" s="26"/>
      <c r="U715" s="26"/>
    </row>
    <row r="716" spans="1:21" x14ac:dyDescent="0.3">
      <c r="A716" s="26"/>
      <c r="B716" s="29">
        <v>45262</v>
      </c>
      <c r="C716" s="28" t="s">
        <v>13</v>
      </c>
      <c r="D716" s="28" t="s">
        <v>82</v>
      </c>
      <c r="E716" s="28" t="s">
        <v>47</v>
      </c>
      <c r="F716" s="28" t="s">
        <v>40</v>
      </c>
      <c r="G716" s="28" t="s">
        <v>33</v>
      </c>
      <c r="H716" s="28" t="s">
        <v>88</v>
      </c>
      <c r="I716" s="28">
        <v>4250</v>
      </c>
      <c r="J716" s="28">
        <v>129000</v>
      </c>
      <c r="K716" s="28">
        <v>5160</v>
      </c>
      <c r="L716" s="28">
        <v>258</v>
      </c>
      <c r="M716" s="28">
        <v>0.05</v>
      </c>
      <c r="N716" s="28">
        <v>38700</v>
      </c>
      <c r="O716" s="28">
        <v>0.04</v>
      </c>
      <c r="P716" s="28">
        <v>0.82</v>
      </c>
      <c r="Q716" s="28">
        <v>8.11</v>
      </c>
      <c r="R716" s="26"/>
      <c r="S716" s="26"/>
      <c r="T716" s="26"/>
      <c r="U716" s="26"/>
    </row>
    <row r="717" spans="1:21" x14ac:dyDescent="0.3">
      <c r="A717" s="26"/>
      <c r="B717" s="29">
        <v>45269</v>
      </c>
      <c r="C717" s="28" t="s">
        <v>13</v>
      </c>
      <c r="D717" s="28" t="s">
        <v>66</v>
      </c>
      <c r="E717" s="28" t="s">
        <v>48</v>
      </c>
      <c r="F717" s="28" t="s">
        <v>44</v>
      </c>
      <c r="G717" s="28" t="s">
        <v>30</v>
      </c>
      <c r="H717" s="28" t="s">
        <v>88</v>
      </c>
      <c r="I717" s="28">
        <v>6500</v>
      </c>
      <c r="J717" s="28">
        <v>68000</v>
      </c>
      <c r="K717" s="28">
        <v>2040</v>
      </c>
      <c r="L717" s="28">
        <v>102</v>
      </c>
      <c r="M717" s="28">
        <v>0.05</v>
      </c>
      <c r="N717" s="28">
        <v>25500</v>
      </c>
      <c r="O717" s="28">
        <v>0.03</v>
      </c>
      <c r="P717" s="28">
        <v>3.19</v>
      </c>
      <c r="Q717" s="28">
        <v>2.92</v>
      </c>
      <c r="R717" s="26"/>
      <c r="S717" s="26"/>
      <c r="T717" s="26"/>
      <c r="U717" s="26"/>
    </row>
    <row r="718" spans="1:21" x14ac:dyDescent="0.3">
      <c r="A718" s="26"/>
      <c r="B718" s="29">
        <v>45276</v>
      </c>
      <c r="C718" s="28" t="s">
        <v>11</v>
      </c>
      <c r="D718" s="28" t="s">
        <v>65</v>
      </c>
      <c r="E718" s="28" t="s">
        <v>47</v>
      </c>
      <c r="F718" s="28" t="s">
        <v>40</v>
      </c>
      <c r="G718" s="28" t="s">
        <v>31</v>
      </c>
      <c r="H718" s="28" t="s">
        <v>88</v>
      </c>
      <c r="I718" s="28">
        <v>4350</v>
      </c>
      <c r="J718" s="28">
        <v>131000</v>
      </c>
      <c r="K718" s="28">
        <v>6550</v>
      </c>
      <c r="L718" s="28">
        <v>328</v>
      </c>
      <c r="M718" s="28">
        <v>0.05</v>
      </c>
      <c r="N718" s="28">
        <v>49125</v>
      </c>
      <c r="O718" s="28">
        <v>0.05</v>
      </c>
      <c r="P718" s="28">
        <v>0.66</v>
      </c>
      <c r="Q718" s="28">
        <v>10.29</v>
      </c>
      <c r="R718" s="26"/>
      <c r="S718" s="26"/>
      <c r="T718" s="26"/>
      <c r="U718" s="26"/>
    </row>
    <row r="719" spans="1:21" x14ac:dyDescent="0.3">
      <c r="A719" s="26"/>
      <c r="B719" s="29">
        <v>45283</v>
      </c>
      <c r="C719" s="28" t="s">
        <v>11</v>
      </c>
      <c r="D719" s="28" t="s">
        <v>67</v>
      </c>
      <c r="E719" s="28" t="s">
        <v>48</v>
      </c>
      <c r="F719" s="28" t="s">
        <v>40</v>
      </c>
      <c r="G719" s="28" t="s">
        <v>32</v>
      </c>
      <c r="H719" s="28" t="s">
        <v>88</v>
      </c>
      <c r="I719" s="28">
        <v>4750</v>
      </c>
      <c r="J719" s="28">
        <v>146000</v>
      </c>
      <c r="K719" s="28">
        <v>5840</v>
      </c>
      <c r="L719" s="28">
        <v>292</v>
      </c>
      <c r="M719" s="28">
        <v>0.05</v>
      </c>
      <c r="N719" s="28">
        <v>43800</v>
      </c>
      <c r="O719" s="28">
        <v>0.04</v>
      </c>
      <c r="P719" s="28">
        <v>0.81</v>
      </c>
      <c r="Q719" s="28">
        <v>8.2200000000000006</v>
      </c>
      <c r="R719" s="26"/>
      <c r="S719" s="26"/>
      <c r="T719" s="26"/>
      <c r="U719" s="26"/>
    </row>
    <row r="720" spans="1:21" x14ac:dyDescent="0.3">
      <c r="A720" s="26"/>
      <c r="B720" s="29">
        <v>45290</v>
      </c>
      <c r="C720" s="28" t="s">
        <v>11</v>
      </c>
      <c r="D720" s="28" t="s">
        <v>69</v>
      </c>
      <c r="E720" s="28" t="s">
        <v>47</v>
      </c>
      <c r="F720" s="28" t="s">
        <v>36</v>
      </c>
      <c r="G720" s="28" t="s">
        <v>31</v>
      </c>
      <c r="H720" s="28" t="s">
        <v>88</v>
      </c>
      <c r="I720" s="28">
        <v>4450</v>
      </c>
      <c r="J720" s="28">
        <v>134000</v>
      </c>
      <c r="K720" s="28">
        <v>6700</v>
      </c>
      <c r="L720" s="28">
        <v>335</v>
      </c>
      <c r="M720" s="28">
        <v>0.05</v>
      </c>
      <c r="N720" s="28">
        <v>50250</v>
      </c>
      <c r="O720" s="28">
        <v>0.05</v>
      </c>
      <c r="P720" s="28">
        <v>0.66</v>
      </c>
      <c r="Q720" s="28">
        <v>10.29</v>
      </c>
      <c r="R720" s="26"/>
      <c r="S720" s="26"/>
      <c r="T720" s="26"/>
      <c r="U720" s="26"/>
    </row>
    <row r="721" spans="1:21" x14ac:dyDescent="0.3">
      <c r="A721" s="26"/>
      <c r="B721" s="29">
        <v>45297</v>
      </c>
      <c r="C721" s="28" t="s">
        <v>12</v>
      </c>
      <c r="D721" s="28" t="s">
        <v>80</v>
      </c>
      <c r="E721" s="28" t="s">
        <v>48</v>
      </c>
      <c r="F721" s="28" t="s">
        <v>45</v>
      </c>
      <c r="G721" s="28" t="s">
        <v>33</v>
      </c>
      <c r="H721" s="28" t="s">
        <v>85</v>
      </c>
      <c r="I721" s="28">
        <v>4350</v>
      </c>
      <c r="J721" s="28">
        <v>132000</v>
      </c>
      <c r="K721" s="28">
        <v>5280</v>
      </c>
      <c r="L721" s="28">
        <v>264</v>
      </c>
      <c r="M721" s="28">
        <v>0.05</v>
      </c>
      <c r="N721" s="28">
        <v>39600</v>
      </c>
      <c r="O721" s="28">
        <v>0.04</v>
      </c>
      <c r="P721" s="28">
        <v>0.82</v>
      </c>
      <c r="Q721" s="28">
        <v>8.1</v>
      </c>
      <c r="R721" s="26"/>
      <c r="S721" s="26"/>
      <c r="T721" s="26"/>
      <c r="U721" s="26"/>
    </row>
    <row r="722" spans="1:21" x14ac:dyDescent="0.3">
      <c r="A722" s="26"/>
      <c r="B722" s="29">
        <v>45304</v>
      </c>
      <c r="C722" s="28" t="s">
        <v>12</v>
      </c>
      <c r="D722" s="28" t="s">
        <v>80</v>
      </c>
      <c r="E722" s="28" t="s">
        <v>48</v>
      </c>
      <c r="F722" s="28" t="s">
        <v>36</v>
      </c>
      <c r="G722" s="28" t="s">
        <v>30</v>
      </c>
      <c r="H722" s="28" t="s">
        <v>85</v>
      </c>
      <c r="I722" s="28">
        <v>6600</v>
      </c>
      <c r="J722" s="28">
        <v>69000</v>
      </c>
      <c r="K722" s="28">
        <v>2070</v>
      </c>
      <c r="L722" s="28">
        <v>104</v>
      </c>
      <c r="M722" s="28">
        <v>0.05</v>
      </c>
      <c r="N722" s="28">
        <v>25875</v>
      </c>
      <c r="O722" s="28">
        <v>0.03</v>
      </c>
      <c r="P722" s="28">
        <v>3.19</v>
      </c>
      <c r="Q722" s="28">
        <v>2.92</v>
      </c>
      <c r="R722" s="26"/>
      <c r="S722" s="26"/>
      <c r="T722" s="26"/>
      <c r="U722" s="26"/>
    </row>
    <row r="723" spans="1:21" x14ac:dyDescent="0.3">
      <c r="A723" s="26"/>
      <c r="B723" s="29">
        <v>45311</v>
      </c>
      <c r="C723" s="28" t="s">
        <v>11</v>
      </c>
      <c r="D723" s="28" t="s">
        <v>77</v>
      </c>
      <c r="E723" s="28" t="s">
        <v>49</v>
      </c>
      <c r="F723" s="28" t="s">
        <v>35</v>
      </c>
      <c r="G723" s="28" t="s">
        <v>31</v>
      </c>
      <c r="H723" s="28" t="s">
        <v>85</v>
      </c>
      <c r="I723" s="28">
        <v>4550</v>
      </c>
      <c r="J723" s="28">
        <v>137000</v>
      </c>
      <c r="K723" s="28">
        <v>6850</v>
      </c>
      <c r="L723" s="28">
        <v>342</v>
      </c>
      <c r="M723" s="28">
        <v>0.05</v>
      </c>
      <c r="N723" s="28">
        <v>51375</v>
      </c>
      <c r="O723" s="28">
        <v>0.05</v>
      </c>
      <c r="P723" s="28">
        <v>0.66</v>
      </c>
      <c r="Q723" s="28">
        <v>10.29</v>
      </c>
      <c r="R723" s="26"/>
      <c r="S723" s="26"/>
      <c r="T723" s="26"/>
      <c r="U723" s="26"/>
    </row>
    <row r="724" spans="1:21" x14ac:dyDescent="0.3">
      <c r="A724" s="26"/>
      <c r="B724" s="29">
        <v>45318</v>
      </c>
      <c r="C724" s="28" t="s">
        <v>13</v>
      </c>
      <c r="D724" s="28" t="s">
        <v>78</v>
      </c>
      <c r="E724" s="28" t="s">
        <v>48</v>
      </c>
      <c r="F724" s="28" t="s">
        <v>44</v>
      </c>
      <c r="G724" s="28" t="s">
        <v>32</v>
      </c>
      <c r="H724" s="28" t="s">
        <v>85</v>
      </c>
      <c r="I724" s="28">
        <v>4850</v>
      </c>
      <c r="J724" s="28">
        <v>149000</v>
      </c>
      <c r="K724" s="28">
        <v>5960</v>
      </c>
      <c r="L724" s="28">
        <v>298</v>
      </c>
      <c r="M724" s="28">
        <v>0.05</v>
      </c>
      <c r="N724" s="28">
        <v>44700</v>
      </c>
      <c r="O724" s="28">
        <v>0.04</v>
      </c>
      <c r="P724" s="28">
        <v>0.81</v>
      </c>
      <c r="Q724" s="28">
        <v>8.2200000000000006</v>
      </c>
      <c r="R724" s="26"/>
      <c r="S724" s="26"/>
      <c r="T724" s="26"/>
      <c r="U724" s="26"/>
    </row>
    <row r="725" spans="1:21" x14ac:dyDescent="0.3">
      <c r="A725" s="26"/>
      <c r="B725" s="29">
        <v>45325</v>
      </c>
      <c r="C725" s="28" t="s">
        <v>12</v>
      </c>
      <c r="D725" s="28" t="s">
        <v>67</v>
      </c>
      <c r="E725" s="28" t="s">
        <v>48</v>
      </c>
      <c r="F725" s="28" t="s">
        <v>40</v>
      </c>
      <c r="G725" s="28" t="s">
        <v>31</v>
      </c>
      <c r="H725" s="28" t="s">
        <v>85</v>
      </c>
      <c r="I725" s="28">
        <v>4650</v>
      </c>
      <c r="J725" s="28">
        <v>140000</v>
      </c>
      <c r="K725" s="28">
        <v>7000</v>
      </c>
      <c r="L725" s="28">
        <v>350</v>
      </c>
      <c r="M725" s="28">
        <v>0.05</v>
      </c>
      <c r="N725" s="28">
        <v>52500</v>
      </c>
      <c r="O725" s="28">
        <v>0.05</v>
      </c>
      <c r="P725" s="28">
        <v>0.66</v>
      </c>
      <c r="Q725" s="28">
        <v>10.29</v>
      </c>
      <c r="R725" s="26"/>
      <c r="S725" s="26"/>
      <c r="T725" s="26"/>
      <c r="U725" s="26"/>
    </row>
    <row r="726" spans="1:21" x14ac:dyDescent="0.3">
      <c r="A726" s="26"/>
      <c r="B726" s="29">
        <v>45332</v>
      </c>
      <c r="C726" s="28" t="s">
        <v>13</v>
      </c>
      <c r="D726" s="28" t="s">
        <v>71</v>
      </c>
      <c r="E726" s="28" t="s">
        <v>48</v>
      </c>
      <c r="F726" s="28" t="s">
        <v>40</v>
      </c>
      <c r="G726" s="28" t="s">
        <v>33</v>
      </c>
      <c r="H726" s="28" t="s">
        <v>85</v>
      </c>
      <c r="I726" s="28">
        <v>4450</v>
      </c>
      <c r="J726" s="28">
        <v>135000</v>
      </c>
      <c r="K726" s="28">
        <v>5400</v>
      </c>
      <c r="L726" s="28">
        <v>270</v>
      </c>
      <c r="M726" s="28">
        <v>0.05</v>
      </c>
      <c r="N726" s="28">
        <v>40500</v>
      </c>
      <c r="O726" s="28">
        <v>0.04</v>
      </c>
      <c r="P726" s="28">
        <v>0.82</v>
      </c>
      <c r="Q726" s="28">
        <v>8.1</v>
      </c>
      <c r="R726" s="26"/>
      <c r="S726" s="26"/>
      <c r="T726" s="26"/>
      <c r="U726" s="26"/>
    </row>
    <row r="727" spans="1:21" x14ac:dyDescent="0.3">
      <c r="A727" s="26"/>
      <c r="B727" s="29">
        <v>45339</v>
      </c>
      <c r="C727" s="28" t="s">
        <v>13</v>
      </c>
      <c r="D727" s="28" t="s">
        <v>66</v>
      </c>
      <c r="E727" s="28" t="s">
        <v>48</v>
      </c>
      <c r="F727" s="28" t="s">
        <v>45</v>
      </c>
      <c r="G727" s="28" t="s">
        <v>30</v>
      </c>
      <c r="H727" s="28" t="s">
        <v>85</v>
      </c>
      <c r="I727" s="28">
        <v>6700</v>
      </c>
      <c r="J727" s="28">
        <v>70000</v>
      </c>
      <c r="K727" s="28">
        <v>2100</v>
      </c>
      <c r="L727" s="28">
        <v>105</v>
      </c>
      <c r="M727" s="28">
        <v>0.05</v>
      </c>
      <c r="N727" s="28">
        <v>26250</v>
      </c>
      <c r="O727" s="28">
        <v>0.03</v>
      </c>
      <c r="P727" s="28">
        <v>3.19</v>
      </c>
      <c r="Q727" s="28">
        <v>2.92</v>
      </c>
      <c r="R727" s="26"/>
      <c r="S727" s="26"/>
      <c r="T727" s="26"/>
      <c r="U727" s="26"/>
    </row>
    <row r="728" spans="1:21" x14ac:dyDescent="0.3">
      <c r="A728" s="26"/>
      <c r="B728" s="29">
        <v>45346</v>
      </c>
      <c r="C728" s="28" t="s">
        <v>12</v>
      </c>
      <c r="D728" s="28" t="s">
        <v>84</v>
      </c>
      <c r="E728" s="28" t="s">
        <v>48</v>
      </c>
      <c r="F728" s="28" t="s">
        <v>40</v>
      </c>
      <c r="G728" s="28" t="s">
        <v>31</v>
      </c>
      <c r="H728" s="28" t="s">
        <v>85</v>
      </c>
      <c r="I728" s="28">
        <v>4750</v>
      </c>
      <c r="J728" s="28">
        <v>143000</v>
      </c>
      <c r="K728" s="28">
        <v>7150</v>
      </c>
      <c r="L728" s="28">
        <v>358</v>
      </c>
      <c r="M728" s="28">
        <v>0.05</v>
      </c>
      <c r="N728" s="28">
        <v>53625</v>
      </c>
      <c r="O728" s="28">
        <v>0.05</v>
      </c>
      <c r="P728" s="28">
        <v>0.66</v>
      </c>
      <c r="Q728" s="28">
        <v>10.29</v>
      </c>
      <c r="R728" s="26"/>
      <c r="S728" s="26"/>
      <c r="T728" s="26"/>
      <c r="U728" s="26"/>
    </row>
    <row r="729" spans="1:21" x14ac:dyDescent="0.3">
      <c r="A729" s="26"/>
      <c r="B729" s="29">
        <v>45353</v>
      </c>
      <c r="C729" s="28" t="s">
        <v>11</v>
      </c>
      <c r="D729" s="28" t="s">
        <v>66</v>
      </c>
      <c r="E729" s="28" t="s">
        <v>48</v>
      </c>
      <c r="F729" s="28" t="s">
        <v>40</v>
      </c>
      <c r="G729" s="28" t="s">
        <v>32</v>
      </c>
      <c r="H729" s="28" t="s">
        <v>85</v>
      </c>
      <c r="I729" s="28">
        <v>4950</v>
      </c>
      <c r="J729" s="28">
        <v>152000</v>
      </c>
      <c r="K729" s="28">
        <v>6080</v>
      </c>
      <c r="L729" s="28">
        <v>304</v>
      </c>
      <c r="M729" s="28">
        <v>0.05</v>
      </c>
      <c r="N729" s="28">
        <v>45600</v>
      </c>
      <c r="O729" s="28">
        <v>0.04</v>
      </c>
      <c r="P729" s="28">
        <v>0.81</v>
      </c>
      <c r="Q729" s="28">
        <v>8.2100000000000009</v>
      </c>
      <c r="R729" s="26"/>
      <c r="S729" s="26"/>
      <c r="T729" s="26"/>
      <c r="U729" s="26"/>
    </row>
    <row r="730" spans="1:21" x14ac:dyDescent="0.3">
      <c r="A730" s="26"/>
      <c r="B730" s="29">
        <v>45360</v>
      </c>
      <c r="C730" s="28" t="s">
        <v>11</v>
      </c>
      <c r="D730" s="28" t="s">
        <v>80</v>
      </c>
      <c r="E730" s="28" t="s">
        <v>48</v>
      </c>
      <c r="F730" s="28" t="s">
        <v>42</v>
      </c>
      <c r="G730" s="28" t="s">
        <v>31</v>
      </c>
      <c r="H730" s="28" t="s">
        <v>85</v>
      </c>
      <c r="I730" s="28">
        <v>4850</v>
      </c>
      <c r="J730" s="28">
        <v>146000</v>
      </c>
      <c r="K730" s="28">
        <v>7300</v>
      </c>
      <c r="L730" s="28">
        <v>365</v>
      </c>
      <c r="M730" s="28">
        <v>0.05</v>
      </c>
      <c r="N730" s="28">
        <v>54750</v>
      </c>
      <c r="O730" s="28">
        <v>0.05</v>
      </c>
      <c r="P730" s="28">
        <v>0.66</v>
      </c>
      <c r="Q730" s="28">
        <v>10.29</v>
      </c>
      <c r="R730" s="26"/>
      <c r="S730" s="26"/>
      <c r="T730" s="26"/>
      <c r="U730" s="26"/>
    </row>
    <row r="731" spans="1:21" x14ac:dyDescent="0.3">
      <c r="A731" s="26"/>
      <c r="B731" s="29">
        <v>45367</v>
      </c>
      <c r="C731" s="28" t="s">
        <v>12</v>
      </c>
      <c r="D731" s="28" t="s">
        <v>74</v>
      </c>
      <c r="E731" s="28" t="s">
        <v>49</v>
      </c>
      <c r="F731" s="28" t="s">
        <v>42</v>
      </c>
      <c r="G731" s="28" t="s">
        <v>33</v>
      </c>
      <c r="H731" s="28" t="s">
        <v>86</v>
      </c>
      <c r="I731" s="28">
        <v>4550</v>
      </c>
      <c r="J731" s="28">
        <v>138000</v>
      </c>
      <c r="K731" s="28">
        <v>5520</v>
      </c>
      <c r="L731" s="28">
        <v>276</v>
      </c>
      <c r="M731" s="28">
        <v>0.05</v>
      </c>
      <c r="N731" s="28">
        <v>41400</v>
      </c>
      <c r="O731" s="28">
        <v>0.04</v>
      </c>
      <c r="P731" s="28">
        <v>0.82</v>
      </c>
      <c r="Q731" s="28">
        <v>8.1</v>
      </c>
      <c r="R731" s="26"/>
      <c r="S731" s="26"/>
      <c r="T731" s="26"/>
      <c r="U731" s="26"/>
    </row>
    <row r="732" spans="1:21" x14ac:dyDescent="0.3">
      <c r="A732" s="26"/>
      <c r="B732" s="29">
        <v>45374</v>
      </c>
      <c r="C732" s="28" t="s">
        <v>11</v>
      </c>
      <c r="D732" s="28" t="s">
        <v>72</v>
      </c>
      <c r="E732" s="28" t="s">
        <v>47</v>
      </c>
      <c r="F732" s="28" t="s">
        <v>41</v>
      </c>
      <c r="G732" s="28" t="s">
        <v>30</v>
      </c>
      <c r="H732" s="28" t="s">
        <v>86</v>
      </c>
      <c r="I732" s="28">
        <v>6800</v>
      </c>
      <c r="J732" s="28">
        <v>71000</v>
      </c>
      <c r="K732" s="28">
        <v>2130</v>
      </c>
      <c r="L732" s="28">
        <v>106</v>
      </c>
      <c r="M732" s="28">
        <v>0.05</v>
      </c>
      <c r="N732" s="28">
        <v>26625</v>
      </c>
      <c r="O732" s="28">
        <v>0.03</v>
      </c>
      <c r="P732" s="28">
        <v>3.19</v>
      </c>
      <c r="Q732" s="28">
        <v>2.92</v>
      </c>
      <c r="R732" s="26"/>
      <c r="S732" s="26"/>
      <c r="T732" s="26"/>
      <c r="U732" s="26"/>
    </row>
    <row r="733" spans="1:21" x14ac:dyDescent="0.3">
      <c r="A733" s="26"/>
      <c r="B733" s="29">
        <v>45381</v>
      </c>
      <c r="C733" s="28" t="s">
        <v>12</v>
      </c>
      <c r="D733" s="28" t="s">
        <v>70</v>
      </c>
      <c r="E733" s="28" t="s">
        <v>49</v>
      </c>
      <c r="F733" s="28" t="s">
        <v>45</v>
      </c>
      <c r="G733" s="28" t="s">
        <v>31</v>
      </c>
      <c r="H733" s="28" t="s">
        <v>86</v>
      </c>
      <c r="I733" s="28">
        <v>4950</v>
      </c>
      <c r="J733" s="28">
        <v>149000</v>
      </c>
      <c r="K733" s="28">
        <v>7450</v>
      </c>
      <c r="L733" s="28">
        <v>372</v>
      </c>
      <c r="M733" s="28">
        <v>0.05</v>
      </c>
      <c r="N733" s="28">
        <v>55875</v>
      </c>
      <c r="O733" s="28">
        <v>0.05</v>
      </c>
      <c r="P733" s="28">
        <v>0.66</v>
      </c>
      <c r="Q733" s="28">
        <v>10.29</v>
      </c>
      <c r="R733" s="26"/>
      <c r="S733" s="26"/>
      <c r="T733" s="26"/>
      <c r="U733" s="26"/>
    </row>
    <row r="734" spans="1:21" x14ac:dyDescent="0.3">
      <c r="A734" s="26"/>
      <c r="B734" s="29">
        <v>45388</v>
      </c>
      <c r="C734" s="28" t="s">
        <v>12</v>
      </c>
      <c r="D734" s="28" t="s">
        <v>84</v>
      </c>
      <c r="E734" s="28" t="s">
        <v>48</v>
      </c>
      <c r="F734" s="28" t="s">
        <v>36</v>
      </c>
      <c r="G734" s="28" t="s">
        <v>32</v>
      </c>
      <c r="H734" s="28" t="s">
        <v>86</v>
      </c>
      <c r="I734" s="28">
        <v>5050</v>
      </c>
      <c r="J734" s="28">
        <v>155000</v>
      </c>
      <c r="K734" s="28">
        <v>6200</v>
      </c>
      <c r="L734" s="28">
        <v>310</v>
      </c>
      <c r="M734" s="28">
        <v>0.05</v>
      </c>
      <c r="N734" s="28">
        <v>46500</v>
      </c>
      <c r="O734" s="28">
        <v>0.04</v>
      </c>
      <c r="P734" s="28">
        <v>0.81</v>
      </c>
      <c r="Q734" s="28">
        <v>8.2100000000000009</v>
      </c>
      <c r="R734" s="26"/>
      <c r="S734" s="26"/>
      <c r="T734" s="26"/>
      <c r="U734" s="26"/>
    </row>
    <row r="735" spans="1:21" x14ac:dyDescent="0.3">
      <c r="A735" s="26"/>
      <c r="B735" s="29">
        <v>45395</v>
      </c>
      <c r="C735" s="28" t="s">
        <v>13</v>
      </c>
      <c r="D735" s="28" t="s">
        <v>81</v>
      </c>
      <c r="E735" s="28" t="s">
        <v>48</v>
      </c>
      <c r="F735" s="28" t="s">
        <v>45</v>
      </c>
      <c r="G735" s="28" t="s">
        <v>31</v>
      </c>
      <c r="H735" s="28" t="s">
        <v>86</v>
      </c>
      <c r="I735" s="28">
        <v>5050</v>
      </c>
      <c r="J735" s="28">
        <v>152000</v>
      </c>
      <c r="K735" s="28">
        <v>7600</v>
      </c>
      <c r="L735" s="28">
        <v>380</v>
      </c>
      <c r="M735" s="28">
        <v>0.05</v>
      </c>
      <c r="N735" s="28">
        <v>57000</v>
      </c>
      <c r="O735" s="28">
        <v>0.05</v>
      </c>
      <c r="P735" s="28">
        <v>0.66</v>
      </c>
      <c r="Q735" s="28">
        <v>10.29</v>
      </c>
      <c r="R735" s="26"/>
      <c r="S735" s="26"/>
      <c r="T735" s="26"/>
      <c r="U735" s="26"/>
    </row>
    <row r="736" spans="1:21" x14ac:dyDescent="0.3">
      <c r="A736" s="26"/>
      <c r="B736" s="29">
        <v>45402</v>
      </c>
      <c r="C736" s="28" t="s">
        <v>10</v>
      </c>
      <c r="D736" s="28" t="s">
        <v>67</v>
      </c>
      <c r="E736" s="28" t="s">
        <v>48</v>
      </c>
      <c r="F736" s="28" t="s">
        <v>36</v>
      </c>
      <c r="G736" s="28" t="s">
        <v>33</v>
      </c>
      <c r="H736" s="28" t="s">
        <v>86</v>
      </c>
      <c r="I736" s="28">
        <v>4650</v>
      </c>
      <c r="J736" s="28">
        <v>141000</v>
      </c>
      <c r="K736" s="28">
        <v>5640</v>
      </c>
      <c r="L736" s="28">
        <v>282</v>
      </c>
      <c r="M736" s="28">
        <v>0.05</v>
      </c>
      <c r="N736" s="28">
        <v>42300</v>
      </c>
      <c r="O736" s="28">
        <v>0.04</v>
      </c>
      <c r="P736" s="28">
        <v>0.82</v>
      </c>
      <c r="Q736" s="28">
        <v>8.1</v>
      </c>
      <c r="R736" s="26"/>
      <c r="S736" s="26"/>
      <c r="T736" s="26"/>
      <c r="U736" s="26"/>
    </row>
    <row r="737" spans="1:21" x14ac:dyDescent="0.3">
      <c r="A737" s="26"/>
      <c r="B737" s="29">
        <v>45409</v>
      </c>
      <c r="C737" s="28" t="s">
        <v>11</v>
      </c>
      <c r="D737" s="28" t="s">
        <v>79</v>
      </c>
      <c r="E737" s="28" t="s">
        <v>47</v>
      </c>
      <c r="F737" s="28" t="s">
        <v>42</v>
      </c>
      <c r="G737" s="28" t="s">
        <v>30</v>
      </c>
      <c r="H737" s="28" t="s">
        <v>86</v>
      </c>
      <c r="I737" s="28">
        <v>6900</v>
      </c>
      <c r="J737" s="28">
        <v>72000</v>
      </c>
      <c r="K737" s="28">
        <v>2160</v>
      </c>
      <c r="L737" s="28">
        <v>108</v>
      </c>
      <c r="M737" s="28">
        <v>0.05</v>
      </c>
      <c r="N737" s="28">
        <v>27000</v>
      </c>
      <c r="O737" s="28">
        <v>0.03</v>
      </c>
      <c r="P737" s="28">
        <v>3.19</v>
      </c>
      <c r="Q737" s="28">
        <v>2.91</v>
      </c>
      <c r="R737" s="26"/>
      <c r="S737" s="26"/>
      <c r="T737" s="26"/>
      <c r="U737" s="26"/>
    </row>
    <row r="738" spans="1:21" x14ac:dyDescent="0.3">
      <c r="A738" s="26"/>
      <c r="B738" s="29">
        <v>45416</v>
      </c>
      <c r="C738" s="28" t="s">
        <v>12</v>
      </c>
      <c r="D738" s="28" t="s">
        <v>84</v>
      </c>
      <c r="E738" s="28" t="s">
        <v>48</v>
      </c>
      <c r="F738" s="28" t="s">
        <v>45</v>
      </c>
      <c r="G738" s="28" t="s">
        <v>31</v>
      </c>
      <c r="H738" s="28" t="s">
        <v>86</v>
      </c>
      <c r="I738" s="28">
        <v>5150</v>
      </c>
      <c r="J738" s="28">
        <v>155000</v>
      </c>
      <c r="K738" s="28">
        <v>7750</v>
      </c>
      <c r="L738" s="28">
        <v>388</v>
      </c>
      <c r="M738" s="28">
        <v>0.05</v>
      </c>
      <c r="N738" s="28">
        <v>58125</v>
      </c>
      <c r="O738" s="28">
        <v>0.05</v>
      </c>
      <c r="P738" s="28">
        <v>0.66</v>
      </c>
      <c r="Q738" s="28">
        <v>10.29</v>
      </c>
      <c r="R738" s="26"/>
      <c r="S738" s="26"/>
      <c r="T738" s="26"/>
      <c r="U738" s="26"/>
    </row>
    <row r="739" spans="1:21" x14ac:dyDescent="0.3">
      <c r="A739" s="26"/>
      <c r="B739" s="29">
        <v>45423</v>
      </c>
      <c r="C739" s="28" t="s">
        <v>10</v>
      </c>
      <c r="D739" s="28" t="s">
        <v>74</v>
      </c>
      <c r="E739" s="28" t="s">
        <v>49</v>
      </c>
      <c r="F739" s="28" t="s">
        <v>41</v>
      </c>
      <c r="G739" s="28" t="s">
        <v>32</v>
      </c>
      <c r="H739" s="28" t="s">
        <v>86</v>
      </c>
      <c r="I739" s="28">
        <v>5150</v>
      </c>
      <c r="J739" s="28">
        <v>158000</v>
      </c>
      <c r="K739" s="28">
        <v>6320</v>
      </c>
      <c r="L739" s="28">
        <v>316</v>
      </c>
      <c r="M739" s="28">
        <v>0.05</v>
      </c>
      <c r="N739" s="28">
        <v>47400</v>
      </c>
      <c r="O739" s="28">
        <v>0.04</v>
      </c>
      <c r="P739" s="28">
        <v>0.81</v>
      </c>
      <c r="Q739" s="28">
        <v>8.1999999999999993</v>
      </c>
      <c r="R739" s="26"/>
      <c r="S739" s="26"/>
      <c r="T739" s="26"/>
      <c r="U739" s="26"/>
    </row>
    <row r="740" spans="1:21" x14ac:dyDescent="0.3">
      <c r="A740" s="26"/>
      <c r="B740" s="29">
        <v>45430</v>
      </c>
      <c r="C740" s="28" t="s">
        <v>12</v>
      </c>
      <c r="D740" s="28" t="s">
        <v>84</v>
      </c>
      <c r="E740" s="28" t="s">
        <v>48</v>
      </c>
      <c r="F740" s="28" t="s">
        <v>36</v>
      </c>
      <c r="G740" s="28" t="s">
        <v>31</v>
      </c>
      <c r="H740" s="28" t="s">
        <v>86</v>
      </c>
      <c r="I740" s="28">
        <v>5250</v>
      </c>
      <c r="J740" s="28">
        <v>158000</v>
      </c>
      <c r="K740" s="28">
        <v>7900</v>
      </c>
      <c r="L740" s="28">
        <v>395</v>
      </c>
      <c r="M740" s="28">
        <v>0.05</v>
      </c>
      <c r="N740" s="28">
        <v>59250</v>
      </c>
      <c r="O740" s="28">
        <v>0.05</v>
      </c>
      <c r="P740" s="28">
        <v>0.66</v>
      </c>
      <c r="Q740" s="28">
        <v>10.29</v>
      </c>
      <c r="R740" s="26"/>
      <c r="S740" s="26"/>
      <c r="T740" s="26"/>
      <c r="U740" s="26"/>
    </row>
    <row r="741" spans="1:21" x14ac:dyDescent="0.3">
      <c r="A741" s="26"/>
      <c r="B741" s="29">
        <v>45437</v>
      </c>
      <c r="C741" s="28" t="s">
        <v>13</v>
      </c>
      <c r="D741" s="28" t="s">
        <v>75</v>
      </c>
      <c r="E741" s="28" t="s">
        <v>47</v>
      </c>
      <c r="F741" s="28" t="s">
        <v>40</v>
      </c>
      <c r="G741" s="28" t="s">
        <v>33</v>
      </c>
      <c r="H741" s="28" t="s">
        <v>86</v>
      </c>
      <c r="I741" s="28">
        <v>4750</v>
      </c>
      <c r="J741" s="28">
        <v>144000</v>
      </c>
      <c r="K741" s="28">
        <v>5760</v>
      </c>
      <c r="L741" s="28">
        <v>288</v>
      </c>
      <c r="M741" s="28">
        <v>0.05</v>
      </c>
      <c r="N741" s="28">
        <v>43200</v>
      </c>
      <c r="O741" s="28">
        <v>0.04</v>
      </c>
      <c r="P741" s="28">
        <v>0.82</v>
      </c>
      <c r="Q741" s="28">
        <v>8.09</v>
      </c>
      <c r="R741" s="26"/>
      <c r="S741" s="26"/>
      <c r="T741" s="26"/>
      <c r="U741" s="26"/>
    </row>
    <row r="742" spans="1:21" x14ac:dyDescent="0.3">
      <c r="A742" s="26"/>
      <c r="B742" s="29">
        <v>45444</v>
      </c>
      <c r="C742" s="28" t="s">
        <v>12</v>
      </c>
      <c r="D742" s="28" t="s">
        <v>83</v>
      </c>
      <c r="E742" s="28" t="s">
        <v>49</v>
      </c>
      <c r="F742" s="28" t="s">
        <v>39</v>
      </c>
      <c r="G742" s="28" t="s">
        <v>30</v>
      </c>
      <c r="H742" s="28" t="s">
        <v>86</v>
      </c>
      <c r="I742" s="28">
        <v>7000</v>
      </c>
      <c r="J742" s="28">
        <v>73000</v>
      </c>
      <c r="K742" s="28">
        <v>2190</v>
      </c>
      <c r="L742" s="28">
        <v>110</v>
      </c>
      <c r="M742" s="28">
        <v>0.05</v>
      </c>
      <c r="N742" s="28">
        <v>27375</v>
      </c>
      <c r="O742" s="28">
        <v>0.03</v>
      </c>
      <c r="P742" s="28">
        <v>3.2</v>
      </c>
      <c r="Q742" s="28">
        <v>2.91</v>
      </c>
      <c r="R742" s="26"/>
      <c r="S742" s="26"/>
      <c r="T742" s="26"/>
      <c r="U742" s="26"/>
    </row>
    <row r="743" spans="1:21" x14ac:dyDescent="0.3">
      <c r="A743" s="26"/>
      <c r="B743" s="29">
        <v>45451</v>
      </c>
      <c r="C743" s="28" t="s">
        <v>12</v>
      </c>
      <c r="D743" s="28" t="s">
        <v>72</v>
      </c>
      <c r="E743" s="28" t="s">
        <v>47</v>
      </c>
      <c r="F743" s="28" t="s">
        <v>44</v>
      </c>
      <c r="G743" s="28" t="s">
        <v>31</v>
      </c>
      <c r="H743" s="28" t="s">
        <v>86</v>
      </c>
      <c r="I743" s="28">
        <v>5350</v>
      </c>
      <c r="J743" s="28">
        <v>161000</v>
      </c>
      <c r="K743" s="28">
        <v>8050</v>
      </c>
      <c r="L743" s="28">
        <v>402</v>
      </c>
      <c r="M743" s="28">
        <v>0.05</v>
      </c>
      <c r="N743" s="28">
        <v>60375</v>
      </c>
      <c r="O743" s="28">
        <v>0.05</v>
      </c>
      <c r="P743" s="28">
        <v>0.66</v>
      </c>
      <c r="Q743" s="28">
        <v>10.28</v>
      </c>
      <c r="R743" s="26"/>
      <c r="S743" s="26"/>
      <c r="T743" s="26"/>
      <c r="U743" s="26"/>
    </row>
    <row r="744" spans="1:21" x14ac:dyDescent="0.3">
      <c r="A744" s="26"/>
      <c r="B744" s="29">
        <v>45458</v>
      </c>
      <c r="C744" s="28" t="s">
        <v>11</v>
      </c>
      <c r="D744" s="28" t="s">
        <v>65</v>
      </c>
      <c r="E744" s="28" t="s">
        <v>47</v>
      </c>
      <c r="F744" s="28" t="s">
        <v>41</v>
      </c>
      <c r="G744" s="28" t="s">
        <v>32</v>
      </c>
      <c r="H744" s="28" t="s">
        <v>86</v>
      </c>
      <c r="I744" s="28">
        <v>5250</v>
      </c>
      <c r="J744" s="28">
        <v>161000</v>
      </c>
      <c r="K744" s="28">
        <v>6440</v>
      </c>
      <c r="L744" s="28">
        <v>322</v>
      </c>
      <c r="M744" s="28">
        <v>0.05</v>
      </c>
      <c r="N744" s="28">
        <v>48300</v>
      </c>
      <c r="O744" s="28">
        <v>0.04</v>
      </c>
      <c r="P744" s="28">
        <v>0.82</v>
      </c>
      <c r="Q744" s="28">
        <v>8.1999999999999993</v>
      </c>
      <c r="R744" s="26"/>
      <c r="S744" s="26"/>
      <c r="T744" s="26"/>
      <c r="U744" s="26"/>
    </row>
    <row r="745" spans="1:21" x14ac:dyDescent="0.3">
      <c r="A745" s="26"/>
      <c r="B745" s="29">
        <v>45465</v>
      </c>
      <c r="C745" s="28" t="s">
        <v>13</v>
      </c>
      <c r="D745" s="28" t="s">
        <v>66</v>
      </c>
      <c r="E745" s="28" t="s">
        <v>48</v>
      </c>
      <c r="F745" s="28" t="s">
        <v>42</v>
      </c>
      <c r="G745" s="28" t="s">
        <v>31</v>
      </c>
      <c r="H745" s="28" t="s">
        <v>86</v>
      </c>
      <c r="I745" s="28">
        <v>5450</v>
      </c>
      <c r="J745" s="28">
        <v>164000</v>
      </c>
      <c r="K745" s="28">
        <v>8200</v>
      </c>
      <c r="L745" s="28">
        <v>410</v>
      </c>
      <c r="M745" s="28">
        <v>0.05</v>
      </c>
      <c r="N745" s="28">
        <v>61500</v>
      </c>
      <c r="O745" s="28">
        <v>0.05</v>
      </c>
      <c r="P745" s="28">
        <v>0.66</v>
      </c>
      <c r="Q745" s="28">
        <v>10.28</v>
      </c>
      <c r="R745" s="26"/>
      <c r="S745" s="26"/>
      <c r="T745" s="26"/>
      <c r="U745" s="26"/>
    </row>
    <row r="746" spans="1:21" x14ac:dyDescent="0.3">
      <c r="A746" s="26"/>
      <c r="B746" s="29">
        <v>45472</v>
      </c>
      <c r="C746" s="28" t="s">
        <v>12</v>
      </c>
      <c r="D746" s="28" t="s">
        <v>73</v>
      </c>
      <c r="E746" s="28" t="s">
        <v>47</v>
      </c>
      <c r="F746" s="28" t="s">
        <v>44</v>
      </c>
      <c r="G746" s="28" t="s">
        <v>33</v>
      </c>
      <c r="H746" s="28" t="s">
        <v>87</v>
      </c>
      <c r="I746" s="28">
        <v>4850</v>
      </c>
      <c r="J746" s="28">
        <v>147000</v>
      </c>
      <c r="K746" s="28">
        <v>5880</v>
      </c>
      <c r="L746" s="28">
        <v>294</v>
      </c>
      <c r="M746" s="28">
        <v>0.05</v>
      </c>
      <c r="N746" s="28">
        <v>44100</v>
      </c>
      <c r="O746" s="28">
        <v>0.04</v>
      </c>
      <c r="P746" s="28">
        <v>0.82</v>
      </c>
      <c r="Q746" s="28">
        <v>8.09</v>
      </c>
      <c r="R746" s="26"/>
      <c r="S746" s="26"/>
      <c r="T746" s="26"/>
      <c r="U746" s="26"/>
    </row>
    <row r="747" spans="1:21" x14ac:dyDescent="0.3">
      <c r="A747" s="26"/>
      <c r="B747" s="29">
        <v>45479</v>
      </c>
      <c r="C747" s="28" t="s">
        <v>11</v>
      </c>
      <c r="D747" s="28" t="s">
        <v>67</v>
      </c>
      <c r="E747" s="28" t="s">
        <v>48</v>
      </c>
      <c r="F747" s="28" t="s">
        <v>38</v>
      </c>
      <c r="G747" s="28" t="s">
        <v>30</v>
      </c>
      <c r="H747" s="28" t="s">
        <v>87</v>
      </c>
      <c r="I747" s="28">
        <v>7100</v>
      </c>
      <c r="J747" s="28">
        <v>74000</v>
      </c>
      <c r="K747" s="28">
        <v>2220</v>
      </c>
      <c r="L747" s="28">
        <v>111</v>
      </c>
      <c r="M747" s="28">
        <v>0.05</v>
      </c>
      <c r="N747" s="28">
        <v>27750</v>
      </c>
      <c r="O747" s="28">
        <v>0.03</v>
      </c>
      <c r="P747" s="28">
        <v>3.2</v>
      </c>
      <c r="Q747" s="28">
        <v>2.91</v>
      </c>
      <c r="R747" s="26"/>
      <c r="S747" s="26"/>
      <c r="T747" s="26"/>
      <c r="U747" s="26"/>
    </row>
    <row r="748" spans="1:21" x14ac:dyDescent="0.3">
      <c r="A748" s="26"/>
      <c r="B748" s="29">
        <v>45486</v>
      </c>
      <c r="C748" s="28" t="s">
        <v>12</v>
      </c>
      <c r="D748" s="28" t="s">
        <v>77</v>
      </c>
      <c r="E748" s="28" t="s">
        <v>49</v>
      </c>
      <c r="F748" s="28" t="s">
        <v>34</v>
      </c>
      <c r="G748" s="28" t="s">
        <v>31</v>
      </c>
      <c r="H748" s="28" t="s">
        <v>87</v>
      </c>
      <c r="I748" s="28">
        <v>5550</v>
      </c>
      <c r="J748" s="28">
        <v>167000</v>
      </c>
      <c r="K748" s="28">
        <v>8350</v>
      </c>
      <c r="L748" s="28">
        <v>418</v>
      </c>
      <c r="M748" s="28">
        <v>0.05</v>
      </c>
      <c r="N748" s="28">
        <v>62625</v>
      </c>
      <c r="O748" s="28">
        <v>0.05</v>
      </c>
      <c r="P748" s="28">
        <v>0.66</v>
      </c>
      <c r="Q748" s="28">
        <v>10.28</v>
      </c>
      <c r="R748" s="26"/>
      <c r="S748" s="26"/>
      <c r="T748" s="26"/>
      <c r="U748" s="26"/>
    </row>
    <row r="749" spans="1:21" x14ac:dyDescent="0.3">
      <c r="A749" s="26"/>
      <c r="B749" s="29">
        <v>45493</v>
      </c>
      <c r="C749" s="28" t="s">
        <v>13</v>
      </c>
      <c r="D749" s="28" t="s">
        <v>72</v>
      </c>
      <c r="E749" s="28" t="s">
        <v>47</v>
      </c>
      <c r="F749" s="28" t="s">
        <v>40</v>
      </c>
      <c r="G749" s="28" t="s">
        <v>32</v>
      </c>
      <c r="H749" s="28" t="s">
        <v>87</v>
      </c>
      <c r="I749" s="28">
        <v>5350</v>
      </c>
      <c r="J749" s="28">
        <v>164000</v>
      </c>
      <c r="K749" s="28">
        <v>6560</v>
      </c>
      <c r="L749" s="28">
        <v>328</v>
      </c>
      <c r="M749" s="28">
        <v>0.05</v>
      </c>
      <c r="N749" s="28">
        <v>49200</v>
      </c>
      <c r="O749" s="28">
        <v>0.04</v>
      </c>
      <c r="P749" s="28">
        <v>0.82</v>
      </c>
      <c r="Q749" s="28">
        <v>8.1999999999999993</v>
      </c>
      <c r="R749" s="26"/>
      <c r="S749" s="26"/>
      <c r="T749" s="26"/>
      <c r="U749" s="26"/>
    </row>
    <row r="750" spans="1:21" x14ac:dyDescent="0.3">
      <c r="A750" s="26"/>
      <c r="B750" s="29">
        <v>45500</v>
      </c>
      <c r="C750" s="28" t="s">
        <v>11</v>
      </c>
      <c r="D750" s="28" t="s">
        <v>70</v>
      </c>
      <c r="E750" s="28" t="s">
        <v>49</v>
      </c>
      <c r="F750" s="28" t="s">
        <v>36</v>
      </c>
      <c r="G750" s="28" t="s">
        <v>31</v>
      </c>
      <c r="H750" s="28" t="s">
        <v>87</v>
      </c>
      <c r="I750" s="28">
        <v>5650</v>
      </c>
      <c r="J750" s="28">
        <v>170000</v>
      </c>
      <c r="K750" s="28">
        <v>8500</v>
      </c>
      <c r="L750" s="28">
        <v>425</v>
      </c>
      <c r="M750" s="28">
        <v>0.05</v>
      </c>
      <c r="N750" s="28">
        <v>63750</v>
      </c>
      <c r="O750" s="28">
        <v>0.05</v>
      </c>
      <c r="P750" s="28">
        <v>0.66</v>
      </c>
      <c r="Q750" s="28">
        <v>10.28</v>
      </c>
      <c r="R750" s="26"/>
      <c r="S750" s="26"/>
      <c r="T750" s="26"/>
      <c r="U750" s="26"/>
    </row>
    <row r="751" spans="1:21" x14ac:dyDescent="0.3">
      <c r="A751" s="26"/>
      <c r="B751" s="29">
        <v>45507</v>
      </c>
      <c r="C751" s="28" t="s">
        <v>12</v>
      </c>
      <c r="D751" s="28" t="s">
        <v>78</v>
      </c>
      <c r="E751" s="28" t="s">
        <v>48</v>
      </c>
      <c r="F751" s="28" t="s">
        <v>43</v>
      </c>
      <c r="G751" s="28" t="s">
        <v>33</v>
      </c>
      <c r="H751" s="28" t="s">
        <v>87</v>
      </c>
      <c r="I751" s="28">
        <v>4950</v>
      </c>
      <c r="J751" s="28">
        <v>150000</v>
      </c>
      <c r="K751" s="28">
        <v>6000</v>
      </c>
      <c r="L751" s="28">
        <v>300</v>
      </c>
      <c r="M751" s="28">
        <v>0.05</v>
      </c>
      <c r="N751" s="28">
        <v>45000</v>
      </c>
      <c r="O751" s="28">
        <v>0.04</v>
      </c>
      <c r="P751" s="28">
        <v>0.82</v>
      </c>
      <c r="Q751" s="28">
        <v>8.09</v>
      </c>
      <c r="R751" s="26"/>
      <c r="S751" s="26"/>
      <c r="T751" s="26"/>
      <c r="U751" s="26"/>
    </row>
    <row r="752" spans="1:21" x14ac:dyDescent="0.3">
      <c r="A752" s="26"/>
      <c r="B752" s="29">
        <v>45514</v>
      </c>
      <c r="C752" s="28" t="s">
        <v>12</v>
      </c>
      <c r="D752" s="28" t="s">
        <v>71</v>
      </c>
      <c r="E752" s="28" t="s">
        <v>48</v>
      </c>
      <c r="F752" s="28" t="s">
        <v>44</v>
      </c>
      <c r="G752" s="28" t="s">
        <v>30</v>
      </c>
      <c r="H752" s="28" t="s">
        <v>87</v>
      </c>
      <c r="I752" s="28">
        <v>7200</v>
      </c>
      <c r="J752" s="28">
        <v>75000</v>
      </c>
      <c r="K752" s="28">
        <v>2250</v>
      </c>
      <c r="L752" s="28">
        <v>112</v>
      </c>
      <c r="M752" s="28">
        <v>0.05</v>
      </c>
      <c r="N752" s="28">
        <v>28125</v>
      </c>
      <c r="O752" s="28">
        <v>0.03</v>
      </c>
      <c r="P752" s="28">
        <v>3.2</v>
      </c>
      <c r="Q752" s="28">
        <v>2.91</v>
      </c>
      <c r="R752" s="26"/>
      <c r="S752" s="26"/>
      <c r="T752" s="26"/>
      <c r="U752" s="26"/>
    </row>
    <row r="753" spans="1:21" x14ac:dyDescent="0.3">
      <c r="A753" s="26"/>
      <c r="B753" s="29">
        <v>45521</v>
      </c>
      <c r="C753" s="28" t="s">
        <v>11</v>
      </c>
      <c r="D753" s="28" t="s">
        <v>76</v>
      </c>
      <c r="E753" s="28" t="s">
        <v>49</v>
      </c>
      <c r="F753" s="28" t="s">
        <v>37</v>
      </c>
      <c r="G753" s="28" t="s">
        <v>31</v>
      </c>
      <c r="H753" s="28" t="s">
        <v>87</v>
      </c>
      <c r="I753" s="28">
        <v>5750</v>
      </c>
      <c r="J753" s="28">
        <v>173000</v>
      </c>
      <c r="K753" s="28">
        <v>8650</v>
      </c>
      <c r="L753" s="28">
        <v>432</v>
      </c>
      <c r="M753" s="28">
        <v>0.05</v>
      </c>
      <c r="N753" s="28">
        <v>64875</v>
      </c>
      <c r="O753" s="28">
        <v>0.05</v>
      </c>
      <c r="P753" s="28">
        <v>0.66</v>
      </c>
      <c r="Q753" s="28">
        <v>10.28</v>
      </c>
      <c r="R753" s="26"/>
      <c r="S753" s="26"/>
      <c r="T753" s="26"/>
      <c r="U753" s="26"/>
    </row>
    <row r="754" spans="1:21" x14ac:dyDescent="0.3">
      <c r="A754" s="26"/>
      <c r="B754" s="29">
        <v>45528</v>
      </c>
      <c r="C754" s="28" t="s">
        <v>11</v>
      </c>
      <c r="D754" s="28" t="s">
        <v>65</v>
      </c>
      <c r="E754" s="28" t="s">
        <v>47</v>
      </c>
      <c r="F754" s="28" t="s">
        <v>45</v>
      </c>
      <c r="G754" s="28" t="s">
        <v>32</v>
      </c>
      <c r="H754" s="28" t="s">
        <v>87</v>
      </c>
      <c r="I754" s="28">
        <v>5450</v>
      </c>
      <c r="J754" s="28">
        <v>167000</v>
      </c>
      <c r="K754" s="28">
        <v>6680</v>
      </c>
      <c r="L754" s="28">
        <v>334</v>
      </c>
      <c r="M754" s="28">
        <v>0.05</v>
      </c>
      <c r="N754" s="28">
        <v>50100</v>
      </c>
      <c r="O754" s="28">
        <v>0.04</v>
      </c>
      <c r="P754" s="28">
        <v>0.82</v>
      </c>
      <c r="Q754" s="28">
        <v>8.19</v>
      </c>
      <c r="R754" s="26"/>
      <c r="S754" s="26"/>
      <c r="T754" s="26"/>
      <c r="U754" s="26"/>
    </row>
    <row r="755" spans="1:21" x14ac:dyDescent="0.3">
      <c r="A755" s="26"/>
      <c r="B755" s="29">
        <v>45535</v>
      </c>
      <c r="C755" s="28" t="s">
        <v>11</v>
      </c>
      <c r="D755" s="28" t="s">
        <v>79</v>
      </c>
      <c r="E755" s="28" t="s">
        <v>47</v>
      </c>
      <c r="F755" s="28" t="s">
        <v>41</v>
      </c>
      <c r="G755" s="28" t="s">
        <v>31</v>
      </c>
      <c r="H755" s="28" t="s">
        <v>87</v>
      </c>
      <c r="I755" s="28">
        <v>5850</v>
      </c>
      <c r="J755" s="28">
        <v>176000</v>
      </c>
      <c r="K755" s="28">
        <v>8800</v>
      </c>
      <c r="L755" s="28">
        <v>440</v>
      </c>
      <c r="M755" s="28">
        <v>0.05</v>
      </c>
      <c r="N755" s="28">
        <v>66000</v>
      </c>
      <c r="O755" s="28">
        <v>0.05</v>
      </c>
      <c r="P755" s="28">
        <v>0.66</v>
      </c>
      <c r="Q755" s="28">
        <v>10.28</v>
      </c>
      <c r="R755" s="26"/>
      <c r="S755" s="26"/>
      <c r="T755" s="26"/>
      <c r="U755" s="26"/>
    </row>
    <row r="756" spans="1:21" x14ac:dyDescent="0.3">
      <c r="A756" s="26"/>
      <c r="B756" s="29">
        <v>45542</v>
      </c>
      <c r="C756" s="28" t="s">
        <v>11</v>
      </c>
      <c r="D756" s="28" t="s">
        <v>82</v>
      </c>
      <c r="E756" s="28" t="s">
        <v>47</v>
      </c>
      <c r="F756" s="28" t="s">
        <v>36</v>
      </c>
      <c r="G756" s="28" t="s">
        <v>33</v>
      </c>
      <c r="H756" s="28" t="s">
        <v>88</v>
      </c>
      <c r="I756" s="28">
        <v>5050</v>
      </c>
      <c r="J756" s="28">
        <v>153000</v>
      </c>
      <c r="K756" s="28">
        <v>6120</v>
      </c>
      <c r="L756" s="28">
        <v>306</v>
      </c>
      <c r="M756" s="28">
        <v>0.05</v>
      </c>
      <c r="N756" s="28">
        <v>45900</v>
      </c>
      <c r="O756" s="28">
        <v>0.04</v>
      </c>
      <c r="P756" s="28">
        <v>0.82</v>
      </c>
      <c r="Q756" s="28">
        <v>8.09</v>
      </c>
      <c r="R756" s="26"/>
      <c r="S756" s="26"/>
      <c r="T756" s="26"/>
      <c r="U756" s="26"/>
    </row>
    <row r="757" spans="1:21" x14ac:dyDescent="0.3">
      <c r="A757" s="26"/>
      <c r="B757" s="29">
        <v>45549</v>
      </c>
      <c r="C757" s="28" t="s">
        <v>12</v>
      </c>
      <c r="D757" s="28" t="s">
        <v>84</v>
      </c>
      <c r="E757" s="28" t="s">
        <v>48</v>
      </c>
      <c r="F757" s="28" t="s">
        <v>45</v>
      </c>
      <c r="G757" s="28" t="s">
        <v>30</v>
      </c>
      <c r="H757" s="28" t="s">
        <v>88</v>
      </c>
      <c r="I757" s="28">
        <v>7300</v>
      </c>
      <c r="J757" s="28">
        <v>76000</v>
      </c>
      <c r="K757" s="28">
        <v>2280</v>
      </c>
      <c r="L757" s="28">
        <v>114</v>
      </c>
      <c r="M757" s="28">
        <v>0.05</v>
      </c>
      <c r="N757" s="28">
        <v>28500</v>
      </c>
      <c r="O757" s="28">
        <v>0.03</v>
      </c>
      <c r="P757" s="28">
        <v>3.2</v>
      </c>
      <c r="Q757" s="28">
        <v>2.9</v>
      </c>
      <c r="R757" s="26"/>
      <c r="S757" s="26"/>
      <c r="T757" s="26"/>
      <c r="U757" s="26"/>
    </row>
    <row r="758" spans="1:21" x14ac:dyDescent="0.3">
      <c r="A758" s="26"/>
      <c r="B758" s="29">
        <v>45556</v>
      </c>
      <c r="C758" s="28" t="s">
        <v>13</v>
      </c>
      <c r="D758" s="28" t="s">
        <v>69</v>
      </c>
      <c r="E758" s="28" t="s">
        <v>47</v>
      </c>
      <c r="F758" s="28" t="s">
        <v>45</v>
      </c>
      <c r="G758" s="28" t="s">
        <v>31</v>
      </c>
      <c r="H758" s="28" t="s">
        <v>88</v>
      </c>
      <c r="I758" s="28">
        <v>5950</v>
      </c>
      <c r="J758" s="28">
        <v>179000</v>
      </c>
      <c r="K758" s="28">
        <v>8950</v>
      </c>
      <c r="L758" s="28">
        <v>448</v>
      </c>
      <c r="M758" s="28">
        <v>0.05</v>
      </c>
      <c r="N758" s="28">
        <v>67125</v>
      </c>
      <c r="O758" s="28">
        <v>0.05</v>
      </c>
      <c r="P758" s="28">
        <v>0.66</v>
      </c>
      <c r="Q758" s="28">
        <v>10.28</v>
      </c>
      <c r="R758" s="26"/>
      <c r="S758" s="26"/>
      <c r="T758" s="26"/>
      <c r="U758" s="26"/>
    </row>
    <row r="759" spans="1:21" x14ac:dyDescent="0.3">
      <c r="A759" s="26"/>
      <c r="B759" s="29">
        <v>45563</v>
      </c>
      <c r="C759" s="28" t="s">
        <v>12</v>
      </c>
      <c r="D759" s="28" t="s">
        <v>65</v>
      </c>
      <c r="E759" s="28" t="s">
        <v>47</v>
      </c>
      <c r="F759" s="28" t="s">
        <v>42</v>
      </c>
      <c r="G759" s="28" t="s">
        <v>32</v>
      </c>
      <c r="H759" s="28" t="s">
        <v>88</v>
      </c>
      <c r="I759" s="28">
        <v>5550</v>
      </c>
      <c r="J759" s="28">
        <v>170000</v>
      </c>
      <c r="K759" s="28">
        <v>6800</v>
      </c>
      <c r="L759" s="28">
        <v>340</v>
      </c>
      <c r="M759" s="28">
        <v>0.05</v>
      </c>
      <c r="N759" s="28">
        <v>51000</v>
      </c>
      <c r="O759" s="28">
        <v>0.04</v>
      </c>
      <c r="P759" s="28">
        <v>0.82</v>
      </c>
      <c r="Q759" s="28">
        <v>8.19</v>
      </c>
      <c r="R759" s="26"/>
      <c r="S759" s="26"/>
      <c r="T759" s="26"/>
      <c r="U759" s="26"/>
    </row>
    <row r="760" spans="1:21" x14ac:dyDescent="0.3">
      <c r="A760" s="26"/>
      <c r="B760" s="29">
        <v>45570</v>
      </c>
      <c r="C760" s="28" t="s">
        <v>12</v>
      </c>
      <c r="D760" s="28" t="s">
        <v>83</v>
      </c>
      <c r="E760" s="28" t="s">
        <v>49</v>
      </c>
      <c r="F760" s="28" t="s">
        <v>36</v>
      </c>
      <c r="G760" s="28" t="s">
        <v>31</v>
      </c>
      <c r="H760" s="28" t="s">
        <v>88</v>
      </c>
      <c r="I760" s="28">
        <v>6050</v>
      </c>
      <c r="J760" s="28">
        <v>182000</v>
      </c>
      <c r="K760" s="28">
        <v>9100</v>
      </c>
      <c r="L760" s="28">
        <v>455</v>
      </c>
      <c r="M760" s="28">
        <v>0.05</v>
      </c>
      <c r="N760" s="28">
        <v>68250</v>
      </c>
      <c r="O760" s="28">
        <v>0.05</v>
      </c>
      <c r="P760" s="28">
        <v>0.66</v>
      </c>
      <c r="Q760" s="28">
        <v>10.28</v>
      </c>
      <c r="R760" s="26"/>
      <c r="S760" s="26"/>
      <c r="T760" s="26"/>
      <c r="U760" s="26"/>
    </row>
    <row r="761" spans="1:21" x14ac:dyDescent="0.3">
      <c r="A761" s="26"/>
      <c r="B761" s="29">
        <v>45577</v>
      </c>
      <c r="C761" s="28" t="s">
        <v>10</v>
      </c>
      <c r="D761" s="28" t="s">
        <v>83</v>
      </c>
      <c r="E761" s="28" t="s">
        <v>49</v>
      </c>
      <c r="F761" s="28" t="s">
        <v>44</v>
      </c>
      <c r="G761" s="28" t="s">
        <v>33</v>
      </c>
      <c r="H761" s="28" t="s">
        <v>88</v>
      </c>
      <c r="I761" s="28">
        <v>5150</v>
      </c>
      <c r="J761" s="28">
        <v>156000</v>
      </c>
      <c r="K761" s="28">
        <v>6240</v>
      </c>
      <c r="L761" s="28">
        <v>312</v>
      </c>
      <c r="M761" s="28">
        <v>0.05</v>
      </c>
      <c r="N761" s="28">
        <v>46800</v>
      </c>
      <c r="O761" s="28">
        <v>0.04</v>
      </c>
      <c r="P761" s="28">
        <v>0.82</v>
      </c>
      <c r="Q761" s="28">
        <v>8.09</v>
      </c>
      <c r="R761" s="26"/>
      <c r="S761" s="26"/>
      <c r="T761" s="26"/>
      <c r="U761" s="26"/>
    </row>
    <row r="762" spans="1:21" x14ac:dyDescent="0.3">
      <c r="A762" s="26"/>
      <c r="B762" s="29">
        <v>45584</v>
      </c>
      <c r="C762" s="28" t="s">
        <v>12</v>
      </c>
      <c r="D762" s="28" t="s">
        <v>74</v>
      </c>
      <c r="E762" s="28" t="s">
        <v>49</v>
      </c>
      <c r="F762" s="28" t="s">
        <v>39</v>
      </c>
      <c r="G762" s="28" t="s">
        <v>30</v>
      </c>
      <c r="H762" s="28" t="s">
        <v>88</v>
      </c>
      <c r="I762" s="28">
        <v>7400</v>
      </c>
      <c r="J762" s="28">
        <v>77000</v>
      </c>
      <c r="K762" s="28">
        <v>2310</v>
      </c>
      <c r="L762" s="28">
        <v>116</v>
      </c>
      <c r="M762" s="28">
        <v>0.05</v>
      </c>
      <c r="N762" s="28">
        <v>28875</v>
      </c>
      <c r="O762" s="28">
        <v>0.03</v>
      </c>
      <c r="P762" s="28">
        <v>3.2</v>
      </c>
      <c r="Q762" s="28">
        <v>2.9</v>
      </c>
      <c r="R762" s="26"/>
      <c r="S762" s="26"/>
      <c r="T762" s="26"/>
      <c r="U762" s="26"/>
    </row>
    <row r="763" spans="1:21" x14ac:dyDescent="0.3">
      <c r="A763" s="26"/>
      <c r="B763" s="29">
        <v>45591</v>
      </c>
      <c r="C763" s="28" t="s">
        <v>12</v>
      </c>
      <c r="D763" s="28" t="s">
        <v>69</v>
      </c>
      <c r="E763" s="28" t="s">
        <v>47</v>
      </c>
      <c r="F763" s="28" t="s">
        <v>43</v>
      </c>
      <c r="G763" s="28" t="s">
        <v>31</v>
      </c>
      <c r="H763" s="28" t="s">
        <v>88</v>
      </c>
      <c r="I763" s="28">
        <v>6150</v>
      </c>
      <c r="J763" s="28">
        <v>185000</v>
      </c>
      <c r="K763" s="28">
        <v>9250</v>
      </c>
      <c r="L763" s="28">
        <v>462</v>
      </c>
      <c r="M763" s="28">
        <v>0.05</v>
      </c>
      <c r="N763" s="28">
        <v>69375</v>
      </c>
      <c r="O763" s="28">
        <v>0.05</v>
      </c>
      <c r="P763" s="28">
        <v>0.66</v>
      </c>
      <c r="Q763" s="28">
        <v>10.28</v>
      </c>
      <c r="R763" s="26"/>
      <c r="S763" s="26"/>
      <c r="T763" s="26"/>
      <c r="U763" s="26"/>
    </row>
    <row r="764" spans="1:21" x14ac:dyDescent="0.3">
      <c r="A764" s="26"/>
      <c r="B764" s="29">
        <v>45598</v>
      </c>
      <c r="C764" s="28" t="s">
        <v>12</v>
      </c>
      <c r="D764" s="28" t="s">
        <v>81</v>
      </c>
      <c r="E764" s="28" t="s">
        <v>48</v>
      </c>
      <c r="F764" s="28" t="s">
        <v>36</v>
      </c>
      <c r="G764" s="28" t="s">
        <v>32</v>
      </c>
      <c r="H764" s="28" t="s">
        <v>88</v>
      </c>
      <c r="I764" s="28">
        <v>5650</v>
      </c>
      <c r="J764" s="28">
        <v>173000</v>
      </c>
      <c r="K764" s="28">
        <v>6920</v>
      </c>
      <c r="L764" s="28">
        <v>346</v>
      </c>
      <c r="M764" s="28">
        <v>0.05</v>
      </c>
      <c r="N764" s="28">
        <v>51900</v>
      </c>
      <c r="O764" s="28">
        <v>0.04</v>
      </c>
      <c r="P764" s="28">
        <v>0.82</v>
      </c>
      <c r="Q764" s="28">
        <v>8.19</v>
      </c>
      <c r="R764" s="26"/>
      <c r="S764" s="26"/>
      <c r="T764" s="26"/>
      <c r="U764" s="26"/>
    </row>
    <row r="765" spans="1:21" x14ac:dyDescent="0.3">
      <c r="A765" s="26"/>
      <c r="B765" s="29">
        <v>45605</v>
      </c>
      <c r="C765" s="28" t="s">
        <v>10</v>
      </c>
      <c r="D765" s="28" t="s">
        <v>67</v>
      </c>
      <c r="E765" s="28" t="s">
        <v>48</v>
      </c>
      <c r="F765" s="28" t="s">
        <v>36</v>
      </c>
      <c r="G765" s="28" t="s">
        <v>31</v>
      </c>
      <c r="H765" s="28" t="s">
        <v>88</v>
      </c>
      <c r="I765" s="28">
        <v>6250</v>
      </c>
      <c r="J765" s="28">
        <v>188000</v>
      </c>
      <c r="K765" s="28">
        <v>9400</v>
      </c>
      <c r="L765" s="28">
        <v>470</v>
      </c>
      <c r="M765" s="28">
        <v>0.05</v>
      </c>
      <c r="N765" s="28">
        <v>70500</v>
      </c>
      <c r="O765" s="28">
        <v>0.05</v>
      </c>
      <c r="P765" s="28">
        <v>0.66</v>
      </c>
      <c r="Q765" s="28">
        <v>10.28</v>
      </c>
      <c r="R765" s="26"/>
      <c r="S765" s="26"/>
      <c r="T765" s="26"/>
      <c r="U765" s="26"/>
    </row>
    <row r="766" spans="1:21" x14ac:dyDescent="0.3">
      <c r="A766" s="26"/>
      <c r="B766" s="29">
        <v>45612</v>
      </c>
      <c r="C766" s="28" t="s">
        <v>10</v>
      </c>
      <c r="D766" s="28" t="s">
        <v>76</v>
      </c>
      <c r="E766" s="28" t="s">
        <v>49</v>
      </c>
      <c r="F766" s="28" t="s">
        <v>41</v>
      </c>
      <c r="G766" s="28" t="s">
        <v>33</v>
      </c>
      <c r="H766" s="28" t="s">
        <v>88</v>
      </c>
      <c r="I766" s="28">
        <v>5250</v>
      </c>
      <c r="J766" s="28">
        <v>159000</v>
      </c>
      <c r="K766" s="28">
        <v>6360</v>
      </c>
      <c r="L766" s="28">
        <v>318</v>
      </c>
      <c r="M766" s="28">
        <v>0.05</v>
      </c>
      <c r="N766" s="28">
        <v>47700</v>
      </c>
      <c r="O766" s="28">
        <v>0.04</v>
      </c>
      <c r="P766" s="28">
        <v>0.82</v>
      </c>
      <c r="Q766" s="28">
        <v>8.09</v>
      </c>
      <c r="R766" s="26"/>
      <c r="S766" s="26"/>
      <c r="T766" s="26"/>
      <c r="U766" s="26"/>
    </row>
    <row r="767" spans="1:21" x14ac:dyDescent="0.3">
      <c r="A767" s="26"/>
      <c r="B767" s="29">
        <v>45619</v>
      </c>
      <c r="C767" s="28" t="s">
        <v>10</v>
      </c>
      <c r="D767" s="28" t="s">
        <v>73</v>
      </c>
      <c r="E767" s="28" t="s">
        <v>47</v>
      </c>
      <c r="F767" s="28" t="s">
        <v>41</v>
      </c>
      <c r="G767" s="28" t="s">
        <v>30</v>
      </c>
      <c r="H767" s="28" t="s">
        <v>88</v>
      </c>
      <c r="I767" s="28">
        <v>7500</v>
      </c>
      <c r="J767" s="28">
        <v>78000</v>
      </c>
      <c r="K767" s="28">
        <v>2340</v>
      </c>
      <c r="L767" s="28">
        <v>117</v>
      </c>
      <c r="M767" s="28">
        <v>0.05</v>
      </c>
      <c r="N767" s="28">
        <v>29250</v>
      </c>
      <c r="O767" s="28">
        <v>0.03</v>
      </c>
      <c r="P767" s="28">
        <v>3.21</v>
      </c>
      <c r="Q767" s="28">
        <v>2.9</v>
      </c>
      <c r="R767" s="26"/>
      <c r="S767" s="26"/>
      <c r="T767" s="26"/>
      <c r="U767" s="26"/>
    </row>
    <row r="768" spans="1:21" x14ac:dyDescent="0.3">
      <c r="A768" s="26"/>
      <c r="B768" s="29">
        <v>45626</v>
      </c>
      <c r="C768" s="28" t="s">
        <v>10</v>
      </c>
      <c r="D768" s="28" t="s">
        <v>66</v>
      </c>
      <c r="E768" s="28" t="s">
        <v>48</v>
      </c>
      <c r="F768" s="28" t="s">
        <v>40</v>
      </c>
      <c r="G768" s="28" t="s">
        <v>31</v>
      </c>
      <c r="H768" s="28" t="s">
        <v>88</v>
      </c>
      <c r="I768" s="28">
        <v>6350</v>
      </c>
      <c r="J768" s="28">
        <v>191000</v>
      </c>
      <c r="K768" s="28">
        <v>9550</v>
      </c>
      <c r="L768" s="28">
        <v>478</v>
      </c>
      <c r="M768" s="28">
        <v>0.05</v>
      </c>
      <c r="N768" s="28">
        <v>71625</v>
      </c>
      <c r="O768" s="28">
        <v>0.05</v>
      </c>
      <c r="P768" s="28">
        <v>0.66</v>
      </c>
      <c r="Q768" s="28">
        <v>10.28</v>
      </c>
      <c r="R768" s="26"/>
      <c r="S768" s="26"/>
      <c r="T768" s="26"/>
      <c r="U768" s="26"/>
    </row>
    <row r="769" spans="1:21" x14ac:dyDescent="0.3">
      <c r="A769" s="26"/>
      <c r="B769" s="29">
        <v>45633</v>
      </c>
      <c r="C769" s="28" t="s">
        <v>13</v>
      </c>
      <c r="D769" s="28" t="s">
        <v>80</v>
      </c>
      <c r="E769" s="28" t="s">
        <v>48</v>
      </c>
      <c r="F769" s="28" t="s">
        <v>45</v>
      </c>
      <c r="G769" s="28" t="s">
        <v>32</v>
      </c>
      <c r="H769" s="28" t="s">
        <v>88</v>
      </c>
      <c r="I769" s="28">
        <v>5750</v>
      </c>
      <c r="J769" s="28">
        <v>176000</v>
      </c>
      <c r="K769" s="28">
        <v>7040</v>
      </c>
      <c r="L769" s="28">
        <v>352</v>
      </c>
      <c r="M769" s="28">
        <v>0.05</v>
      </c>
      <c r="N769" s="28">
        <v>52800</v>
      </c>
      <c r="O769" s="28">
        <v>0.04</v>
      </c>
      <c r="P769" s="28">
        <v>0.82</v>
      </c>
      <c r="Q769" s="28">
        <v>8.18</v>
      </c>
      <c r="R769" s="26"/>
      <c r="S769" s="26"/>
      <c r="T769" s="26"/>
      <c r="U769" s="26"/>
    </row>
    <row r="770" spans="1:21" x14ac:dyDescent="0.3">
      <c r="A770" s="26"/>
      <c r="B770" s="29">
        <v>45640</v>
      </c>
      <c r="C770" s="28" t="s">
        <v>11</v>
      </c>
      <c r="D770" s="28" t="s">
        <v>71</v>
      </c>
      <c r="E770" s="28" t="s">
        <v>48</v>
      </c>
      <c r="F770" s="28" t="s">
        <v>40</v>
      </c>
      <c r="G770" s="28" t="s">
        <v>31</v>
      </c>
      <c r="H770" s="28" t="s">
        <v>88</v>
      </c>
      <c r="I770" s="28">
        <v>6450</v>
      </c>
      <c r="J770" s="28">
        <v>194000</v>
      </c>
      <c r="K770" s="28">
        <v>9700</v>
      </c>
      <c r="L770" s="28">
        <v>485</v>
      </c>
      <c r="M770" s="28">
        <v>0.05</v>
      </c>
      <c r="N770" s="28">
        <v>72750</v>
      </c>
      <c r="O770" s="28">
        <v>0.05</v>
      </c>
      <c r="P770" s="28">
        <v>0.66</v>
      </c>
      <c r="Q770" s="28">
        <v>10.28</v>
      </c>
      <c r="R770" s="26"/>
      <c r="S770" s="26"/>
      <c r="T770" s="26"/>
      <c r="U770" s="26"/>
    </row>
    <row r="771" spans="1:21" x14ac:dyDescent="0.3">
      <c r="A771" s="26"/>
      <c r="B771" s="29">
        <v>45647</v>
      </c>
      <c r="C771" s="28" t="s">
        <v>11</v>
      </c>
      <c r="D771" s="28" t="s">
        <v>79</v>
      </c>
      <c r="E771" s="28" t="s">
        <v>47</v>
      </c>
      <c r="F771" s="28" t="s">
        <v>45</v>
      </c>
      <c r="G771" s="28" t="s">
        <v>33</v>
      </c>
      <c r="H771" s="28" t="s">
        <v>88</v>
      </c>
      <c r="I771" s="28">
        <v>5350</v>
      </c>
      <c r="J771" s="28">
        <v>162000</v>
      </c>
      <c r="K771" s="28">
        <v>6480</v>
      </c>
      <c r="L771" s="28">
        <v>324</v>
      </c>
      <c r="M771" s="28">
        <v>0.05</v>
      </c>
      <c r="N771" s="28">
        <v>48600</v>
      </c>
      <c r="O771" s="28">
        <v>0.04</v>
      </c>
      <c r="P771" s="28">
        <v>0.82</v>
      </c>
      <c r="Q771" s="28">
        <v>8.09</v>
      </c>
      <c r="R771" s="26"/>
      <c r="S771" s="26"/>
      <c r="T771" s="26"/>
      <c r="U771" s="26"/>
    </row>
    <row r="772" spans="1:21" x14ac:dyDescent="0.3">
      <c r="A772" s="26"/>
      <c r="B772" s="29">
        <v>45654</v>
      </c>
      <c r="C772" s="28" t="s">
        <v>12</v>
      </c>
      <c r="D772" s="28" t="s">
        <v>70</v>
      </c>
      <c r="E772" s="28" t="s">
        <v>49</v>
      </c>
      <c r="F772" s="28" t="s">
        <v>37</v>
      </c>
      <c r="G772" s="28" t="s">
        <v>30</v>
      </c>
      <c r="H772" s="28" t="s">
        <v>88</v>
      </c>
      <c r="I772" s="28">
        <v>7600</v>
      </c>
      <c r="J772" s="28">
        <v>79000</v>
      </c>
      <c r="K772" s="28">
        <v>2370</v>
      </c>
      <c r="L772" s="28">
        <v>118</v>
      </c>
      <c r="M772" s="28">
        <v>0.05</v>
      </c>
      <c r="N772" s="28">
        <v>29625</v>
      </c>
      <c r="O772" s="28">
        <v>0.03</v>
      </c>
      <c r="P772" s="28">
        <v>3.21</v>
      </c>
      <c r="Q772" s="28">
        <v>2.9</v>
      </c>
      <c r="R772" s="26"/>
      <c r="S772" s="26"/>
      <c r="T772" s="26"/>
      <c r="U772" s="26"/>
    </row>
    <row r="773" spans="1:21" x14ac:dyDescent="0.3">
      <c r="A773" s="26"/>
      <c r="B773" s="29">
        <v>44935</v>
      </c>
      <c r="C773" s="28" t="s">
        <v>12</v>
      </c>
      <c r="D773" s="28" t="s">
        <v>78</v>
      </c>
      <c r="E773" s="28" t="s">
        <v>48</v>
      </c>
      <c r="F773" s="28" t="s">
        <v>44</v>
      </c>
      <c r="G773" s="28" t="s">
        <v>33</v>
      </c>
      <c r="H773" s="28" t="s">
        <v>85</v>
      </c>
      <c r="I773" s="28">
        <v>2750</v>
      </c>
      <c r="J773" s="28">
        <v>85000</v>
      </c>
      <c r="K773" s="28">
        <v>3400</v>
      </c>
      <c r="L773" s="28">
        <v>170</v>
      </c>
      <c r="M773" s="28">
        <v>0.05</v>
      </c>
      <c r="N773" s="28">
        <v>25500</v>
      </c>
      <c r="O773" s="28">
        <v>0.04</v>
      </c>
      <c r="P773" s="28">
        <v>0.81</v>
      </c>
      <c r="Q773" s="28">
        <v>8.27</v>
      </c>
      <c r="R773" s="26"/>
      <c r="S773" s="26"/>
      <c r="T773" s="26"/>
      <c r="U773" s="26"/>
    </row>
    <row r="774" spans="1:21" x14ac:dyDescent="0.3">
      <c r="A774" s="26"/>
      <c r="B774" s="29">
        <v>44942</v>
      </c>
      <c r="C774" s="28" t="s">
        <v>12</v>
      </c>
      <c r="D774" s="28" t="s">
        <v>71</v>
      </c>
      <c r="E774" s="28" t="s">
        <v>48</v>
      </c>
      <c r="F774" s="28" t="s">
        <v>36</v>
      </c>
      <c r="G774" s="28" t="s">
        <v>31</v>
      </c>
      <c r="H774" s="28" t="s">
        <v>85</v>
      </c>
      <c r="I774" s="28">
        <v>1950</v>
      </c>
      <c r="J774" s="28">
        <v>68000</v>
      </c>
      <c r="K774" s="28">
        <v>3400</v>
      </c>
      <c r="L774" s="28">
        <v>170</v>
      </c>
      <c r="M774" s="28">
        <v>0.05</v>
      </c>
      <c r="N774" s="28">
        <v>25500</v>
      </c>
      <c r="O774" s="28">
        <v>0.05</v>
      </c>
      <c r="P774" s="28">
        <v>0.56999999999999995</v>
      </c>
      <c r="Q774" s="28">
        <v>12.08</v>
      </c>
      <c r="R774" s="26"/>
      <c r="S774" s="26"/>
      <c r="T774" s="26"/>
      <c r="U774" s="26"/>
    </row>
    <row r="775" spans="1:21" x14ac:dyDescent="0.3">
      <c r="A775" s="26"/>
      <c r="B775" s="29">
        <v>44949</v>
      </c>
      <c r="C775" s="28" t="s">
        <v>12</v>
      </c>
      <c r="D775" s="28" t="s">
        <v>68</v>
      </c>
      <c r="E775" s="28" t="s">
        <v>47</v>
      </c>
      <c r="F775" s="28" t="s">
        <v>36</v>
      </c>
      <c r="G775" s="28" t="s">
        <v>32</v>
      </c>
      <c r="H775" s="28" t="s">
        <v>85</v>
      </c>
      <c r="I775" s="28">
        <v>3550</v>
      </c>
      <c r="J775" s="28">
        <v>111000</v>
      </c>
      <c r="K775" s="28">
        <v>4440</v>
      </c>
      <c r="L775" s="28">
        <v>222</v>
      </c>
      <c r="M775" s="28">
        <v>0.05</v>
      </c>
      <c r="N775" s="28">
        <v>33300</v>
      </c>
      <c r="O775" s="28">
        <v>0.04</v>
      </c>
      <c r="P775" s="28">
        <v>0.8</v>
      </c>
      <c r="Q775" s="28">
        <v>8.3800000000000008</v>
      </c>
      <c r="R775" s="26"/>
      <c r="S775" s="26"/>
      <c r="T775" s="26"/>
      <c r="U775" s="26"/>
    </row>
    <row r="776" spans="1:21" x14ac:dyDescent="0.3">
      <c r="A776" s="26"/>
      <c r="B776" s="29">
        <v>44956</v>
      </c>
      <c r="C776" s="28" t="s">
        <v>10</v>
      </c>
      <c r="D776" s="28" t="s">
        <v>71</v>
      </c>
      <c r="E776" s="28" t="s">
        <v>48</v>
      </c>
      <c r="F776" s="28" t="s">
        <v>42</v>
      </c>
      <c r="G776" s="28" t="s">
        <v>30</v>
      </c>
      <c r="H776" s="28" t="s">
        <v>85</v>
      </c>
      <c r="I776" s="28">
        <v>5300</v>
      </c>
      <c r="J776" s="28">
        <v>57000</v>
      </c>
      <c r="K776" s="28">
        <v>1710</v>
      </c>
      <c r="L776" s="28">
        <v>86</v>
      </c>
      <c r="M776" s="28">
        <v>0.05</v>
      </c>
      <c r="N776" s="28">
        <v>21375</v>
      </c>
      <c r="O776" s="28">
        <v>0.03</v>
      </c>
      <c r="P776" s="28">
        <v>3.1</v>
      </c>
      <c r="Q776" s="28">
        <v>3.03</v>
      </c>
      <c r="R776" s="26"/>
      <c r="S776" s="26"/>
      <c r="T776" s="26"/>
      <c r="U776" s="26"/>
    </row>
    <row r="777" spans="1:21" x14ac:dyDescent="0.3">
      <c r="A777" s="26"/>
      <c r="B777" s="29">
        <v>44963</v>
      </c>
      <c r="C777" s="28" t="s">
        <v>11</v>
      </c>
      <c r="D777" s="28" t="s">
        <v>65</v>
      </c>
      <c r="E777" s="28" t="s">
        <v>47</v>
      </c>
      <c r="F777" s="28" t="s">
        <v>39</v>
      </c>
      <c r="G777" s="28" t="s">
        <v>31</v>
      </c>
      <c r="H777" s="28" t="s">
        <v>85</v>
      </c>
      <c r="I777" s="28">
        <v>2250</v>
      </c>
      <c r="J777" s="28">
        <v>73000</v>
      </c>
      <c r="K777" s="28">
        <v>3650</v>
      </c>
      <c r="L777" s="28">
        <v>182</v>
      </c>
      <c r="M777" s="28">
        <v>0.05</v>
      </c>
      <c r="N777" s="28">
        <v>27375</v>
      </c>
      <c r="O777" s="28">
        <v>0.05</v>
      </c>
      <c r="P777" s="28">
        <v>0.62</v>
      </c>
      <c r="Q777" s="28">
        <v>11.17</v>
      </c>
      <c r="R777" s="26"/>
      <c r="S777" s="26"/>
      <c r="T777" s="26"/>
      <c r="U777" s="26"/>
    </row>
    <row r="778" spans="1:21" x14ac:dyDescent="0.3">
      <c r="A778" s="26"/>
      <c r="B778" s="29">
        <v>44970</v>
      </c>
      <c r="C778" s="28" t="s">
        <v>13</v>
      </c>
      <c r="D778" s="28" t="s">
        <v>81</v>
      </c>
      <c r="E778" s="28" t="s">
        <v>48</v>
      </c>
      <c r="F778" s="28" t="s">
        <v>36</v>
      </c>
      <c r="G778" s="28" t="s">
        <v>33</v>
      </c>
      <c r="H778" s="28" t="s">
        <v>85</v>
      </c>
      <c r="I778" s="28">
        <v>3150</v>
      </c>
      <c r="J778" s="28">
        <v>97000</v>
      </c>
      <c r="K778" s="28">
        <v>3880</v>
      </c>
      <c r="L778" s="28">
        <v>194</v>
      </c>
      <c r="M778" s="28">
        <v>0.05</v>
      </c>
      <c r="N778" s="28">
        <v>29100</v>
      </c>
      <c r="O778" s="28">
        <v>0.04</v>
      </c>
      <c r="P778" s="28">
        <v>0.81</v>
      </c>
      <c r="Q778" s="28">
        <v>8.24</v>
      </c>
      <c r="R778" s="26"/>
      <c r="S778" s="26"/>
      <c r="T778" s="26"/>
      <c r="U778" s="26"/>
    </row>
    <row r="779" spans="1:21" x14ac:dyDescent="0.3">
      <c r="A779" s="26"/>
      <c r="B779" s="29">
        <v>44977</v>
      </c>
      <c r="C779" s="28" t="s">
        <v>12</v>
      </c>
      <c r="D779" s="28" t="s">
        <v>69</v>
      </c>
      <c r="E779" s="28" t="s">
        <v>47</v>
      </c>
      <c r="F779" s="28" t="s">
        <v>41</v>
      </c>
      <c r="G779" s="28" t="s">
        <v>31</v>
      </c>
      <c r="H779" s="28" t="s">
        <v>85</v>
      </c>
      <c r="I779" s="28">
        <v>2450</v>
      </c>
      <c r="J779" s="28">
        <v>77000</v>
      </c>
      <c r="K779" s="28">
        <v>3850</v>
      </c>
      <c r="L779" s="28">
        <v>192</v>
      </c>
      <c r="M779" s="28">
        <v>0.05</v>
      </c>
      <c r="N779" s="28">
        <v>28875</v>
      </c>
      <c r="O779" s="28">
        <v>0.05</v>
      </c>
      <c r="P779" s="28">
        <v>0.64</v>
      </c>
      <c r="Q779" s="28">
        <v>10.79</v>
      </c>
      <c r="R779" s="26"/>
      <c r="S779" s="26"/>
      <c r="T779" s="26"/>
      <c r="U779" s="26"/>
    </row>
    <row r="780" spans="1:21" x14ac:dyDescent="0.3">
      <c r="A780" s="26"/>
      <c r="B780" s="29">
        <v>44984</v>
      </c>
      <c r="C780" s="28" t="s">
        <v>10</v>
      </c>
      <c r="D780" s="28" t="s">
        <v>71</v>
      </c>
      <c r="E780" s="28" t="s">
        <v>48</v>
      </c>
      <c r="F780" s="28" t="s">
        <v>36</v>
      </c>
      <c r="G780" s="28" t="s">
        <v>32</v>
      </c>
      <c r="H780" s="28" t="s">
        <v>85</v>
      </c>
      <c r="I780" s="28">
        <v>3850</v>
      </c>
      <c r="J780" s="28">
        <v>119000</v>
      </c>
      <c r="K780" s="28">
        <v>4760</v>
      </c>
      <c r="L780" s="28">
        <v>238</v>
      </c>
      <c r="M780" s="28">
        <v>0.05</v>
      </c>
      <c r="N780" s="28">
        <v>35700</v>
      </c>
      <c r="O780" s="28">
        <v>0.04</v>
      </c>
      <c r="P780" s="28">
        <v>0.81</v>
      </c>
      <c r="Q780" s="28">
        <v>8.27</v>
      </c>
      <c r="R780" s="26"/>
      <c r="S780" s="26"/>
      <c r="T780" s="26"/>
      <c r="U780" s="26"/>
    </row>
    <row r="781" spans="1:21" x14ac:dyDescent="0.3">
      <c r="A781" s="26"/>
      <c r="B781" s="29">
        <v>44991</v>
      </c>
      <c r="C781" s="28" t="s">
        <v>12</v>
      </c>
      <c r="D781" s="28" t="s">
        <v>72</v>
      </c>
      <c r="E781" s="28" t="s">
        <v>47</v>
      </c>
      <c r="F781" s="28" t="s">
        <v>36</v>
      </c>
      <c r="G781" s="28" t="s">
        <v>30</v>
      </c>
      <c r="H781" s="28" t="s">
        <v>85</v>
      </c>
      <c r="I781" s="28">
        <v>5600</v>
      </c>
      <c r="J781" s="28">
        <v>60000</v>
      </c>
      <c r="K781" s="28">
        <v>1800</v>
      </c>
      <c r="L781" s="28">
        <v>90</v>
      </c>
      <c r="M781" s="28">
        <v>0.05</v>
      </c>
      <c r="N781" s="28">
        <v>22500</v>
      </c>
      <c r="O781" s="28">
        <v>0.03</v>
      </c>
      <c r="P781" s="28">
        <v>3.11</v>
      </c>
      <c r="Q781" s="28">
        <v>3.02</v>
      </c>
      <c r="R781" s="26"/>
      <c r="S781" s="26"/>
      <c r="T781" s="26"/>
      <c r="U781" s="26"/>
    </row>
    <row r="782" spans="1:21" x14ac:dyDescent="0.3">
      <c r="A782" s="26"/>
      <c r="B782" s="29">
        <v>44998</v>
      </c>
      <c r="C782" s="28" t="s">
        <v>12</v>
      </c>
      <c r="D782" s="28" t="s">
        <v>82</v>
      </c>
      <c r="E782" s="28" t="s">
        <v>47</v>
      </c>
      <c r="F782" s="28" t="s">
        <v>34</v>
      </c>
      <c r="G782" s="28" t="s">
        <v>31</v>
      </c>
      <c r="H782" s="28" t="s">
        <v>85</v>
      </c>
      <c r="I782" s="28">
        <v>2650</v>
      </c>
      <c r="J782" s="28">
        <v>81000</v>
      </c>
      <c r="K782" s="28">
        <v>4050</v>
      </c>
      <c r="L782" s="28">
        <v>202</v>
      </c>
      <c r="M782" s="28">
        <v>0.05</v>
      </c>
      <c r="N782" s="28">
        <v>30375</v>
      </c>
      <c r="O782" s="28">
        <v>0.05</v>
      </c>
      <c r="P782" s="28">
        <v>0.65</v>
      </c>
      <c r="Q782" s="28">
        <v>10.46</v>
      </c>
      <c r="R782" s="26"/>
      <c r="S782" s="26"/>
      <c r="T782" s="26"/>
      <c r="U782" s="26"/>
    </row>
    <row r="783" spans="1:21" x14ac:dyDescent="0.3">
      <c r="A783" s="26"/>
      <c r="B783" s="29">
        <v>45005</v>
      </c>
      <c r="C783" s="28" t="s">
        <v>11</v>
      </c>
      <c r="D783" s="28" t="s">
        <v>72</v>
      </c>
      <c r="E783" s="28" t="s">
        <v>47</v>
      </c>
      <c r="F783" s="28" t="s">
        <v>40</v>
      </c>
      <c r="G783" s="28" t="s">
        <v>33</v>
      </c>
      <c r="H783" s="28" t="s">
        <v>85</v>
      </c>
      <c r="I783" s="28">
        <v>3450</v>
      </c>
      <c r="J783" s="28">
        <v>104000</v>
      </c>
      <c r="K783" s="28">
        <v>4160</v>
      </c>
      <c r="L783" s="28">
        <v>208</v>
      </c>
      <c r="M783" s="28">
        <v>0.05</v>
      </c>
      <c r="N783" s="28">
        <v>31200</v>
      </c>
      <c r="O783" s="28">
        <v>0.04</v>
      </c>
      <c r="P783" s="28">
        <v>0.83</v>
      </c>
      <c r="Q783" s="28">
        <v>8.0399999999999991</v>
      </c>
      <c r="R783" s="26"/>
      <c r="S783" s="26"/>
      <c r="T783" s="26"/>
      <c r="U783" s="26"/>
    </row>
    <row r="784" spans="1:21" x14ac:dyDescent="0.3">
      <c r="A784" s="26"/>
      <c r="B784" s="29">
        <v>45012</v>
      </c>
      <c r="C784" s="28" t="s">
        <v>12</v>
      </c>
      <c r="D784" s="28" t="s">
        <v>80</v>
      </c>
      <c r="E784" s="28" t="s">
        <v>48</v>
      </c>
      <c r="F784" s="28" t="s">
        <v>41</v>
      </c>
      <c r="G784" s="28" t="s">
        <v>31</v>
      </c>
      <c r="H784" s="28" t="s">
        <v>86</v>
      </c>
      <c r="I784" s="28">
        <v>2850</v>
      </c>
      <c r="J784" s="28">
        <v>86000</v>
      </c>
      <c r="K784" s="28">
        <v>4300</v>
      </c>
      <c r="L784" s="28">
        <v>215</v>
      </c>
      <c r="M784" s="28">
        <v>0.05</v>
      </c>
      <c r="N784" s="28">
        <v>32250</v>
      </c>
      <c r="O784" s="28">
        <v>0.05</v>
      </c>
      <c r="P784" s="28">
        <v>0.66</v>
      </c>
      <c r="Q784" s="28">
        <v>10.32</v>
      </c>
      <c r="R784" s="26"/>
      <c r="S784" s="26"/>
      <c r="T784" s="26"/>
      <c r="U784" s="26"/>
    </row>
    <row r="785" spans="1:21" x14ac:dyDescent="0.3">
      <c r="A785" s="26"/>
      <c r="B785" s="29">
        <v>45019</v>
      </c>
      <c r="C785" s="28" t="s">
        <v>12</v>
      </c>
      <c r="D785" s="28" t="s">
        <v>71</v>
      </c>
      <c r="E785" s="28" t="s">
        <v>48</v>
      </c>
      <c r="F785" s="28" t="s">
        <v>36</v>
      </c>
      <c r="G785" s="28" t="s">
        <v>32</v>
      </c>
      <c r="H785" s="28" t="s">
        <v>86</v>
      </c>
      <c r="I785" s="28">
        <v>4150</v>
      </c>
      <c r="J785" s="28">
        <v>128000</v>
      </c>
      <c r="K785" s="28">
        <v>5120</v>
      </c>
      <c r="L785" s="28">
        <v>256</v>
      </c>
      <c r="M785" s="28">
        <v>0.05</v>
      </c>
      <c r="N785" s="28">
        <v>38400</v>
      </c>
      <c r="O785" s="28">
        <v>0.04</v>
      </c>
      <c r="P785" s="28">
        <v>0.81</v>
      </c>
      <c r="Q785" s="28">
        <v>8.25</v>
      </c>
      <c r="R785" s="26"/>
      <c r="S785" s="26"/>
      <c r="T785" s="26"/>
      <c r="U785" s="26"/>
    </row>
    <row r="786" spans="1:21" x14ac:dyDescent="0.3">
      <c r="A786" s="26"/>
      <c r="B786" s="29">
        <v>45026</v>
      </c>
      <c r="C786" s="28" t="s">
        <v>10</v>
      </c>
      <c r="D786" s="28" t="s">
        <v>77</v>
      </c>
      <c r="E786" s="28" t="s">
        <v>49</v>
      </c>
      <c r="F786" s="28" t="s">
        <v>45</v>
      </c>
      <c r="G786" s="28" t="s">
        <v>30</v>
      </c>
      <c r="H786" s="28" t="s">
        <v>86</v>
      </c>
      <c r="I786" s="28">
        <v>5900</v>
      </c>
      <c r="J786" s="28">
        <v>62000</v>
      </c>
      <c r="K786" s="28">
        <v>1860</v>
      </c>
      <c r="L786" s="28">
        <v>93</v>
      </c>
      <c r="M786" s="28">
        <v>0.05</v>
      </c>
      <c r="N786" s="28">
        <v>23250</v>
      </c>
      <c r="O786" s="28">
        <v>0.03</v>
      </c>
      <c r="P786" s="28">
        <v>3.17</v>
      </c>
      <c r="Q786" s="28">
        <v>2.94</v>
      </c>
      <c r="R786" s="26"/>
      <c r="S786" s="26"/>
      <c r="T786" s="26"/>
      <c r="U786" s="26"/>
    </row>
    <row r="787" spans="1:21" x14ac:dyDescent="0.3">
      <c r="A787" s="26"/>
      <c r="B787" s="29">
        <v>45033</v>
      </c>
      <c r="C787" s="28" t="s">
        <v>10</v>
      </c>
      <c r="D787" s="28" t="s">
        <v>68</v>
      </c>
      <c r="E787" s="28" t="s">
        <v>47</v>
      </c>
      <c r="F787" s="28" t="s">
        <v>40</v>
      </c>
      <c r="G787" s="28" t="s">
        <v>31</v>
      </c>
      <c r="H787" s="28" t="s">
        <v>86</v>
      </c>
      <c r="I787" s="28">
        <v>3050</v>
      </c>
      <c r="J787" s="28">
        <v>92000</v>
      </c>
      <c r="K787" s="28">
        <v>4600</v>
      </c>
      <c r="L787" s="28">
        <v>230</v>
      </c>
      <c r="M787" s="28">
        <v>0.05</v>
      </c>
      <c r="N787" s="28">
        <v>34500</v>
      </c>
      <c r="O787" s="28">
        <v>0.05</v>
      </c>
      <c r="P787" s="28">
        <v>0.66</v>
      </c>
      <c r="Q787" s="28">
        <v>10.31</v>
      </c>
      <c r="R787" s="26"/>
      <c r="S787" s="26"/>
      <c r="T787" s="26"/>
      <c r="U787" s="26"/>
    </row>
    <row r="788" spans="1:21" x14ac:dyDescent="0.3">
      <c r="A788" s="26"/>
      <c r="B788" s="29">
        <v>45040</v>
      </c>
      <c r="C788" s="28" t="s">
        <v>11</v>
      </c>
      <c r="D788" s="28" t="s">
        <v>71</v>
      </c>
      <c r="E788" s="28" t="s">
        <v>48</v>
      </c>
      <c r="F788" s="28" t="s">
        <v>36</v>
      </c>
      <c r="G788" s="28" t="s">
        <v>33</v>
      </c>
      <c r="H788" s="28" t="s">
        <v>86</v>
      </c>
      <c r="I788" s="28">
        <v>3750</v>
      </c>
      <c r="J788" s="28">
        <v>113000</v>
      </c>
      <c r="K788" s="28">
        <v>4520</v>
      </c>
      <c r="L788" s="28">
        <v>226</v>
      </c>
      <c r="M788" s="28">
        <v>0.05</v>
      </c>
      <c r="N788" s="28">
        <v>33900</v>
      </c>
      <c r="O788" s="28">
        <v>0.04</v>
      </c>
      <c r="P788" s="28">
        <v>0.83</v>
      </c>
      <c r="Q788" s="28">
        <v>8.0399999999999991</v>
      </c>
      <c r="R788" s="26"/>
      <c r="S788" s="26"/>
      <c r="T788" s="26"/>
      <c r="U788" s="26"/>
    </row>
    <row r="789" spans="1:21" x14ac:dyDescent="0.3">
      <c r="A789" s="26"/>
      <c r="B789" s="29">
        <v>45047</v>
      </c>
      <c r="C789" s="28" t="s">
        <v>12</v>
      </c>
      <c r="D789" s="28" t="s">
        <v>81</v>
      </c>
      <c r="E789" s="28" t="s">
        <v>48</v>
      </c>
      <c r="F789" s="28" t="s">
        <v>41</v>
      </c>
      <c r="G789" s="28" t="s">
        <v>31</v>
      </c>
      <c r="H789" s="28" t="s">
        <v>86</v>
      </c>
      <c r="I789" s="28">
        <v>3250</v>
      </c>
      <c r="J789" s="28">
        <v>98000</v>
      </c>
      <c r="K789" s="28">
        <v>4900</v>
      </c>
      <c r="L789" s="28">
        <v>245</v>
      </c>
      <c r="M789" s="28">
        <v>0.05</v>
      </c>
      <c r="N789" s="28">
        <v>36750</v>
      </c>
      <c r="O789" s="28">
        <v>0.05</v>
      </c>
      <c r="P789" s="28">
        <v>0.66</v>
      </c>
      <c r="Q789" s="28">
        <v>10.31</v>
      </c>
      <c r="R789" s="26"/>
      <c r="S789" s="26"/>
      <c r="T789" s="26"/>
      <c r="U789" s="26"/>
    </row>
    <row r="790" spans="1:21" x14ac:dyDescent="0.3">
      <c r="A790" s="26"/>
      <c r="B790" s="29">
        <v>45054</v>
      </c>
      <c r="C790" s="28" t="s">
        <v>12</v>
      </c>
      <c r="D790" s="28" t="s">
        <v>80</v>
      </c>
      <c r="E790" s="28" t="s">
        <v>48</v>
      </c>
      <c r="F790" s="28" t="s">
        <v>40</v>
      </c>
      <c r="G790" s="28" t="s">
        <v>32</v>
      </c>
      <c r="H790" s="28" t="s">
        <v>86</v>
      </c>
      <c r="I790" s="28">
        <v>4250</v>
      </c>
      <c r="J790" s="28">
        <v>131000</v>
      </c>
      <c r="K790" s="28">
        <v>5240</v>
      </c>
      <c r="L790" s="28">
        <v>262</v>
      </c>
      <c r="M790" s="28">
        <v>0.05</v>
      </c>
      <c r="N790" s="28">
        <v>39300</v>
      </c>
      <c r="O790" s="28">
        <v>0.04</v>
      </c>
      <c r="P790" s="28">
        <v>0.81</v>
      </c>
      <c r="Q790" s="28">
        <v>8.25</v>
      </c>
      <c r="R790" s="26"/>
      <c r="S790" s="26"/>
      <c r="T790" s="26"/>
      <c r="U790" s="26"/>
    </row>
    <row r="791" spans="1:21" x14ac:dyDescent="0.3">
      <c r="A791" s="26"/>
      <c r="B791" s="29">
        <v>45061</v>
      </c>
      <c r="C791" s="28" t="s">
        <v>13</v>
      </c>
      <c r="D791" s="28" t="s">
        <v>68</v>
      </c>
      <c r="E791" s="28" t="s">
        <v>47</v>
      </c>
      <c r="F791" s="28" t="s">
        <v>45</v>
      </c>
      <c r="G791" s="28" t="s">
        <v>30</v>
      </c>
      <c r="H791" s="28" t="s">
        <v>86</v>
      </c>
      <c r="I791" s="28">
        <v>6000</v>
      </c>
      <c r="J791" s="28">
        <v>63000</v>
      </c>
      <c r="K791" s="28">
        <v>1890</v>
      </c>
      <c r="L791" s="28">
        <v>94</v>
      </c>
      <c r="M791" s="28">
        <v>0.05</v>
      </c>
      <c r="N791" s="28">
        <v>23625</v>
      </c>
      <c r="O791" s="28">
        <v>0.03</v>
      </c>
      <c r="P791" s="28">
        <v>3.17</v>
      </c>
      <c r="Q791" s="28">
        <v>2.94</v>
      </c>
      <c r="R791" s="26"/>
      <c r="S791" s="26"/>
      <c r="T791" s="26"/>
      <c r="U791" s="26"/>
    </row>
    <row r="792" spans="1:21" x14ac:dyDescent="0.3">
      <c r="A792" s="26"/>
      <c r="B792" s="29">
        <v>45068</v>
      </c>
      <c r="C792" s="28" t="s">
        <v>11</v>
      </c>
      <c r="D792" s="28" t="s">
        <v>84</v>
      </c>
      <c r="E792" s="28" t="s">
        <v>48</v>
      </c>
      <c r="F792" s="28" t="s">
        <v>41</v>
      </c>
      <c r="G792" s="28" t="s">
        <v>31</v>
      </c>
      <c r="H792" s="28" t="s">
        <v>86</v>
      </c>
      <c r="I792" s="28">
        <v>3350</v>
      </c>
      <c r="J792" s="28">
        <v>101000</v>
      </c>
      <c r="K792" s="28">
        <v>5050</v>
      </c>
      <c r="L792" s="28">
        <v>252</v>
      </c>
      <c r="M792" s="28">
        <v>0.05</v>
      </c>
      <c r="N792" s="28">
        <v>37875</v>
      </c>
      <c r="O792" s="28">
        <v>0.05</v>
      </c>
      <c r="P792" s="28">
        <v>0.66</v>
      </c>
      <c r="Q792" s="28">
        <v>10.31</v>
      </c>
      <c r="R792" s="26"/>
      <c r="S792" s="26"/>
      <c r="T792" s="26"/>
      <c r="U792" s="26"/>
    </row>
    <row r="793" spans="1:21" x14ac:dyDescent="0.3">
      <c r="A793" s="26"/>
      <c r="B793" s="29">
        <v>45075</v>
      </c>
      <c r="C793" s="28" t="s">
        <v>12</v>
      </c>
      <c r="D793" s="28" t="s">
        <v>68</v>
      </c>
      <c r="E793" s="28" t="s">
        <v>47</v>
      </c>
      <c r="F793" s="28" t="s">
        <v>39</v>
      </c>
      <c r="G793" s="28" t="s">
        <v>33</v>
      </c>
      <c r="H793" s="28" t="s">
        <v>86</v>
      </c>
      <c r="I793" s="28">
        <v>3850</v>
      </c>
      <c r="J793" s="28">
        <v>117000</v>
      </c>
      <c r="K793" s="28">
        <v>4680</v>
      </c>
      <c r="L793" s="28">
        <v>234</v>
      </c>
      <c r="M793" s="28">
        <v>0.05</v>
      </c>
      <c r="N793" s="28">
        <v>35100</v>
      </c>
      <c r="O793" s="28">
        <v>0.04</v>
      </c>
      <c r="P793" s="28">
        <v>0.82</v>
      </c>
      <c r="Q793" s="28">
        <v>8.1199999999999992</v>
      </c>
      <c r="R793" s="26"/>
      <c r="S793" s="26"/>
      <c r="T793" s="26"/>
      <c r="U793" s="26"/>
    </row>
    <row r="794" spans="1:21" x14ac:dyDescent="0.3">
      <c r="A794" s="26"/>
      <c r="B794" s="29">
        <v>45082</v>
      </c>
      <c r="C794" s="28" t="s">
        <v>13</v>
      </c>
      <c r="D794" s="28" t="s">
        <v>79</v>
      </c>
      <c r="E794" s="28" t="s">
        <v>47</v>
      </c>
      <c r="F794" s="28" t="s">
        <v>41</v>
      </c>
      <c r="G794" s="28" t="s">
        <v>31</v>
      </c>
      <c r="H794" s="28" t="s">
        <v>86</v>
      </c>
      <c r="I794" s="28">
        <v>3450</v>
      </c>
      <c r="J794" s="28">
        <v>104000</v>
      </c>
      <c r="K794" s="28">
        <v>5200</v>
      </c>
      <c r="L794" s="28">
        <v>260</v>
      </c>
      <c r="M794" s="28">
        <v>0.05</v>
      </c>
      <c r="N794" s="28">
        <v>39000</v>
      </c>
      <c r="O794" s="28">
        <v>0.05</v>
      </c>
      <c r="P794" s="28">
        <v>0.66</v>
      </c>
      <c r="Q794" s="28">
        <v>10.3</v>
      </c>
      <c r="R794" s="26"/>
      <c r="S794" s="26"/>
      <c r="T794" s="26"/>
      <c r="U794" s="26"/>
    </row>
    <row r="795" spans="1:21" x14ac:dyDescent="0.3">
      <c r="A795" s="26"/>
      <c r="B795" s="29">
        <v>45089</v>
      </c>
      <c r="C795" s="28" t="s">
        <v>11</v>
      </c>
      <c r="D795" s="28" t="s">
        <v>78</v>
      </c>
      <c r="E795" s="28" t="s">
        <v>48</v>
      </c>
      <c r="F795" s="28" t="s">
        <v>34</v>
      </c>
      <c r="G795" s="28" t="s">
        <v>32</v>
      </c>
      <c r="H795" s="28" t="s">
        <v>86</v>
      </c>
      <c r="I795" s="28">
        <v>4350</v>
      </c>
      <c r="J795" s="28">
        <v>134000</v>
      </c>
      <c r="K795" s="28">
        <v>5360</v>
      </c>
      <c r="L795" s="28">
        <v>268</v>
      </c>
      <c r="M795" s="28">
        <v>0.05</v>
      </c>
      <c r="N795" s="28">
        <v>40200</v>
      </c>
      <c r="O795" s="28">
        <v>0.04</v>
      </c>
      <c r="P795" s="28">
        <v>0.81</v>
      </c>
      <c r="Q795" s="28">
        <v>8.24</v>
      </c>
      <c r="R795" s="26"/>
      <c r="S795" s="26"/>
      <c r="T795" s="26"/>
      <c r="U795" s="26"/>
    </row>
    <row r="796" spans="1:21" x14ac:dyDescent="0.3">
      <c r="A796" s="26"/>
      <c r="B796" s="29">
        <v>45096</v>
      </c>
      <c r="C796" s="28" t="s">
        <v>11</v>
      </c>
      <c r="D796" s="28" t="s">
        <v>72</v>
      </c>
      <c r="E796" s="28" t="s">
        <v>47</v>
      </c>
      <c r="F796" s="28" t="s">
        <v>34</v>
      </c>
      <c r="G796" s="28" t="s">
        <v>30</v>
      </c>
      <c r="H796" s="28" t="s">
        <v>86</v>
      </c>
      <c r="I796" s="28">
        <v>6100</v>
      </c>
      <c r="J796" s="28">
        <v>64000</v>
      </c>
      <c r="K796" s="28">
        <v>1920</v>
      </c>
      <c r="L796" s="28">
        <v>96</v>
      </c>
      <c r="M796" s="28">
        <v>0.05</v>
      </c>
      <c r="N796" s="28">
        <v>24000</v>
      </c>
      <c r="O796" s="28">
        <v>0.03</v>
      </c>
      <c r="P796" s="28">
        <v>3.18</v>
      </c>
      <c r="Q796" s="28">
        <v>2.93</v>
      </c>
      <c r="R796" s="26"/>
      <c r="S796" s="26"/>
      <c r="T796" s="26"/>
      <c r="U796" s="26"/>
    </row>
    <row r="797" spans="1:21" x14ac:dyDescent="0.3">
      <c r="A797" s="26"/>
      <c r="B797" s="29">
        <v>45103</v>
      </c>
      <c r="C797" s="28" t="s">
        <v>12</v>
      </c>
      <c r="D797" s="28" t="s">
        <v>76</v>
      </c>
      <c r="E797" s="28" t="s">
        <v>49</v>
      </c>
      <c r="F797" s="28" t="s">
        <v>44</v>
      </c>
      <c r="G797" s="28" t="s">
        <v>31</v>
      </c>
      <c r="H797" s="28" t="s">
        <v>86</v>
      </c>
      <c r="I797" s="28">
        <v>3550</v>
      </c>
      <c r="J797" s="28">
        <v>107000</v>
      </c>
      <c r="K797" s="28">
        <v>5350</v>
      </c>
      <c r="L797" s="28">
        <v>268</v>
      </c>
      <c r="M797" s="28">
        <v>0.05</v>
      </c>
      <c r="N797" s="28">
        <v>40125</v>
      </c>
      <c r="O797" s="28">
        <v>0.05</v>
      </c>
      <c r="P797" s="28">
        <v>0.66</v>
      </c>
      <c r="Q797" s="28">
        <v>10.3</v>
      </c>
      <c r="R797" s="26"/>
      <c r="S797" s="26"/>
      <c r="T797" s="26"/>
      <c r="U797" s="26"/>
    </row>
    <row r="798" spans="1:21" x14ac:dyDescent="0.3">
      <c r="A798" s="26"/>
      <c r="B798" s="29">
        <v>45110</v>
      </c>
      <c r="C798" s="28" t="s">
        <v>12</v>
      </c>
      <c r="D798" s="28" t="s">
        <v>69</v>
      </c>
      <c r="E798" s="28" t="s">
        <v>47</v>
      </c>
      <c r="F798" s="28" t="s">
        <v>34</v>
      </c>
      <c r="G798" s="28" t="s">
        <v>33</v>
      </c>
      <c r="H798" s="28" t="s">
        <v>87</v>
      </c>
      <c r="I798" s="28">
        <v>3950</v>
      </c>
      <c r="J798" s="28">
        <v>120000</v>
      </c>
      <c r="K798" s="28">
        <v>4800</v>
      </c>
      <c r="L798" s="28">
        <v>240</v>
      </c>
      <c r="M798" s="28">
        <v>0.05</v>
      </c>
      <c r="N798" s="28">
        <v>36000</v>
      </c>
      <c r="O798" s="28">
        <v>0.04</v>
      </c>
      <c r="P798" s="28">
        <v>0.82</v>
      </c>
      <c r="Q798" s="28">
        <v>8.11</v>
      </c>
      <c r="R798" s="26"/>
      <c r="S798" s="26"/>
      <c r="T798" s="26"/>
      <c r="U798" s="26"/>
    </row>
    <row r="799" spans="1:21" x14ac:dyDescent="0.3">
      <c r="A799" s="26"/>
      <c r="B799" s="29">
        <v>45117</v>
      </c>
      <c r="C799" s="28" t="s">
        <v>13</v>
      </c>
      <c r="D799" s="28" t="s">
        <v>72</v>
      </c>
      <c r="E799" s="28" t="s">
        <v>47</v>
      </c>
      <c r="F799" s="28" t="s">
        <v>39</v>
      </c>
      <c r="G799" s="28" t="s">
        <v>31</v>
      </c>
      <c r="H799" s="28" t="s">
        <v>87</v>
      </c>
      <c r="I799" s="28">
        <v>3650</v>
      </c>
      <c r="J799" s="28">
        <v>110000</v>
      </c>
      <c r="K799" s="28">
        <v>5500</v>
      </c>
      <c r="L799" s="28">
        <v>275</v>
      </c>
      <c r="M799" s="28">
        <v>0.05</v>
      </c>
      <c r="N799" s="28">
        <v>41250</v>
      </c>
      <c r="O799" s="28">
        <v>0.05</v>
      </c>
      <c r="P799" s="28">
        <v>0.66</v>
      </c>
      <c r="Q799" s="28">
        <v>10.3</v>
      </c>
      <c r="R799" s="26"/>
      <c r="S799" s="26"/>
      <c r="T799" s="26"/>
      <c r="U799" s="26"/>
    </row>
    <row r="800" spans="1:21" x14ac:dyDescent="0.3">
      <c r="A800" s="26"/>
      <c r="B800" s="29">
        <v>45124</v>
      </c>
      <c r="C800" s="28" t="s">
        <v>11</v>
      </c>
      <c r="D800" s="28" t="s">
        <v>76</v>
      </c>
      <c r="E800" s="28" t="s">
        <v>49</v>
      </c>
      <c r="F800" s="28" t="s">
        <v>44</v>
      </c>
      <c r="G800" s="28" t="s">
        <v>32</v>
      </c>
      <c r="H800" s="28" t="s">
        <v>87</v>
      </c>
      <c r="I800" s="28">
        <v>4450</v>
      </c>
      <c r="J800" s="28">
        <v>137000</v>
      </c>
      <c r="K800" s="28">
        <v>5480</v>
      </c>
      <c r="L800" s="28">
        <v>274</v>
      </c>
      <c r="M800" s="28">
        <v>0.05</v>
      </c>
      <c r="N800" s="28">
        <v>41100</v>
      </c>
      <c r="O800" s="28">
        <v>0.04</v>
      </c>
      <c r="P800" s="28">
        <v>0.81</v>
      </c>
      <c r="Q800" s="28">
        <v>8.24</v>
      </c>
      <c r="R800" s="26"/>
      <c r="S800" s="26"/>
      <c r="T800" s="26"/>
      <c r="U800" s="26"/>
    </row>
    <row r="801" spans="1:21" x14ac:dyDescent="0.3">
      <c r="A801" s="26"/>
      <c r="B801" s="29">
        <v>45131</v>
      </c>
      <c r="C801" s="28" t="s">
        <v>11</v>
      </c>
      <c r="D801" s="28" t="s">
        <v>79</v>
      </c>
      <c r="E801" s="28" t="s">
        <v>47</v>
      </c>
      <c r="F801" s="28" t="s">
        <v>36</v>
      </c>
      <c r="G801" s="28" t="s">
        <v>30</v>
      </c>
      <c r="H801" s="28" t="s">
        <v>87</v>
      </c>
      <c r="I801" s="28">
        <v>6200</v>
      </c>
      <c r="J801" s="28">
        <v>65000</v>
      </c>
      <c r="K801" s="28">
        <v>1950</v>
      </c>
      <c r="L801" s="28">
        <v>98</v>
      </c>
      <c r="M801" s="28">
        <v>0.05</v>
      </c>
      <c r="N801" s="28">
        <v>24375</v>
      </c>
      <c r="O801" s="28">
        <v>0.03</v>
      </c>
      <c r="P801" s="28">
        <v>3.18</v>
      </c>
      <c r="Q801" s="28">
        <v>2.93</v>
      </c>
      <c r="R801" s="26"/>
      <c r="S801" s="26"/>
      <c r="T801" s="26"/>
      <c r="U801" s="26"/>
    </row>
    <row r="802" spans="1:21" x14ac:dyDescent="0.3">
      <c r="A802" s="26"/>
      <c r="B802" s="29">
        <v>45138</v>
      </c>
      <c r="C802" s="28" t="s">
        <v>12</v>
      </c>
      <c r="D802" s="28" t="s">
        <v>83</v>
      </c>
      <c r="E802" s="28" t="s">
        <v>49</v>
      </c>
      <c r="F802" s="28" t="s">
        <v>45</v>
      </c>
      <c r="G802" s="28" t="s">
        <v>31</v>
      </c>
      <c r="H802" s="28" t="s">
        <v>87</v>
      </c>
      <c r="I802" s="28">
        <v>3750</v>
      </c>
      <c r="J802" s="28">
        <v>113000</v>
      </c>
      <c r="K802" s="28">
        <v>5650</v>
      </c>
      <c r="L802" s="28">
        <v>282</v>
      </c>
      <c r="M802" s="28">
        <v>0.05</v>
      </c>
      <c r="N802" s="28">
        <v>42375</v>
      </c>
      <c r="O802" s="28">
        <v>0.05</v>
      </c>
      <c r="P802" s="28">
        <v>0.66</v>
      </c>
      <c r="Q802" s="28">
        <v>10.3</v>
      </c>
      <c r="R802" s="26"/>
      <c r="S802" s="26"/>
      <c r="T802" s="26"/>
      <c r="U802" s="26"/>
    </row>
    <row r="803" spans="1:21" x14ac:dyDescent="0.3">
      <c r="A803" s="26"/>
      <c r="B803" s="29">
        <v>45145</v>
      </c>
      <c r="C803" s="28" t="s">
        <v>11</v>
      </c>
      <c r="D803" s="28" t="s">
        <v>77</v>
      </c>
      <c r="E803" s="28" t="s">
        <v>49</v>
      </c>
      <c r="F803" s="28" t="s">
        <v>36</v>
      </c>
      <c r="G803" s="28" t="s">
        <v>33</v>
      </c>
      <c r="H803" s="28" t="s">
        <v>87</v>
      </c>
      <c r="I803" s="28">
        <v>4050</v>
      </c>
      <c r="J803" s="28">
        <v>123000</v>
      </c>
      <c r="K803" s="28">
        <v>4920</v>
      </c>
      <c r="L803" s="28">
        <v>246</v>
      </c>
      <c r="M803" s="28">
        <v>0.05</v>
      </c>
      <c r="N803" s="28">
        <v>36900</v>
      </c>
      <c r="O803" s="28">
        <v>0.04</v>
      </c>
      <c r="P803" s="28">
        <v>0.82</v>
      </c>
      <c r="Q803" s="28">
        <v>8.11</v>
      </c>
      <c r="R803" s="26"/>
      <c r="S803" s="26"/>
      <c r="T803" s="26"/>
      <c r="U803" s="26"/>
    </row>
    <row r="804" spans="1:21" x14ac:dyDescent="0.3">
      <c r="A804" s="26"/>
      <c r="B804" s="29">
        <v>45152</v>
      </c>
      <c r="C804" s="28" t="s">
        <v>11</v>
      </c>
      <c r="D804" s="28" t="s">
        <v>68</v>
      </c>
      <c r="E804" s="28" t="s">
        <v>47</v>
      </c>
      <c r="F804" s="28" t="s">
        <v>45</v>
      </c>
      <c r="G804" s="28" t="s">
        <v>31</v>
      </c>
      <c r="H804" s="28" t="s">
        <v>87</v>
      </c>
      <c r="I804" s="28">
        <v>3850</v>
      </c>
      <c r="J804" s="28">
        <v>116000</v>
      </c>
      <c r="K804" s="28">
        <v>5800</v>
      </c>
      <c r="L804" s="28">
        <v>290</v>
      </c>
      <c r="M804" s="28">
        <v>0.05</v>
      </c>
      <c r="N804" s="28">
        <v>43500</v>
      </c>
      <c r="O804" s="28">
        <v>0.05</v>
      </c>
      <c r="P804" s="28">
        <v>0.66</v>
      </c>
      <c r="Q804" s="28">
        <v>10.3</v>
      </c>
      <c r="R804" s="26"/>
      <c r="S804" s="26"/>
      <c r="T804" s="26"/>
      <c r="U804" s="26"/>
    </row>
    <row r="805" spans="1:21" x14ac:dyDescent="0.3">
      <c r="A805" s="26"/>
      <c r="B805" s="29">
        <v>45159</v>
      </c>
      <c r="C805" s="28" t="s">
        <v>13</v>
      </c>
      <c r="D805" s="28" t="s">
        <v>81</v>
      </c>
      <c r="E805" s="28" t="s">
        <v>48</v>
      </c>
      <c r="F805" s="28" t="s">
        <v>36</v>
      </c>
      <c r="G805" s="28" t="s">
        <v>32</v>
      </c>
      <c r="H805" s="28" t="s">
        <v>87</v>
      </c>
      <c r="I805" s="28">
        <v>4550</v>
      </c>
      <c r="J805" s="28">
        <v>140000</v>
      </c>
      <c r="K805" s="28">
        <v>5600</v>
      </c>
      <c r="L805" s="28">
        <v>280</v>
      </c>
      <c r="M805" s="28">
        <v>0.05</v>
      </c>
      <c r="N805" s="28">
        <v>42000</v>
      </c>
      <c r="O805" s="28">
        <v>0.04</v>
      </c>
      <c r="P805" s="28">
        <v>0.81</v>
      </c>
      <c r="Q805" s="28">
        <v>8.23</v>
      </c>
      <c r="R805" s="26"/>
      <c r="S805" s="26"/>
      <c r="T805" s="26"/>
      <c r="U805" s="26"/>
    </row>
    <row r="806" spans="1:21" x14ac:dyDescent="0.3">
      <c r="A806" s="26"/>
      <c r="B806" s="29">
        <v>45166</v>
      </c>
      <c r="C806" s="28" t="s">
        <v>12</v>
      </c>
      <c r="D806" s="28" t="s">
        <v>79</v>
      </c>
      <c r="E806" s="28" t="s">
        <v>47</v>
      </c>
      <c r="F806" s="28" t="s">
        <v>40</v>
      </c>
      <c r="G806" s="28" t="s">
        <v>30</v>
      </c>
      <c r="H806" s="28" t="s">
        <v>87</v>
      </c>
      <c r="I806" s="28">
        <v>6300</v>
      </c>
      <c r="J806" s="28">
        <v>66000</v>
      </c>
      <c r="K806" s="28">
        <v>1980</v>
      </c>
      <c r="L806" s="28">
        <v>99</v>
      </c>
      <c r="M806" s="28">
        <v>0.05</v>
      </c>
      <c r="N806" s="28">
        <v>24750</v>
      </c>
      <c r="O806" s="28">
        <v>0.03</v>
      </c>
      <c r="P806" s="28">
        <v>3.18</v>
      </c>
      <c r="Q806" s="28">
        <v>2.93</v>
      </c>
      <c r="R806" s="26"/>
      <c r="S806" s="26"/>
      <c r="T806" s="26"/>
      <c r="U806" s="26"/>
    </row>
    <row r="807" spans="1:21" x14ac:dyDescent="0.3">
      <c r="A807" s="26"/>
      <c r="B807" s="29">
        <v>45173</v>
      </c>
      <c r="C807" s="28" t="s">
        <v>12</v>
      </c>
      <c r="D807" s="28" t="s">
        <v>82</v>
      </c>
      <c r="E807" s="28" t="s">
        <v>47</v>
      </c>
      <c r="F807" s="28" t="s">
        <v>34</v>
      </c>
      <c r="G807" s="28" t="s">
        <v>31</v>
      </c>
      <c r="H807" s="28" t="s">
        <v>87</v>
      </c>
      <c r="I807" s="28">
        <v>3950</v>
      </c>
      <c r="J807" s="28">
        <v>119000</v>
      </c>
      <c r="K807" s="28">
        <v>5950</v>
      </c>
      <c r="L807" s="28">
        <v>298</v>
      </c>
      <c r="M807" s="28">
        <v>0.05</v>
      </c>
      <c r="N807" s="28">
        <v>44625</v>
      </c>
      <c r="O807" s="28">
        <v>0.05</v>
      </c>
      <c r="P807" s="28">
        <v>0.66</v>
      </c>
      <c r="Q807" s="28">
        <v>10.3</v>
      </c>
      <c r="R807" s="26"/>
      <c r="S807" s="26"/>
      <c r="T807" s="26"/>
      <c r="U807" s="26"/>
    </row>
    <row r="808" spans="1:21" x14ac:dyDescent="0.3">
      <c r="A808" s="26"/>
      <c r="B808" s="29">
        <v>45180</v>
      </c>
      <c r="C808" s="28" t="s">
        <v>12</v>
      </c>
      <c r="D808" s="28" t="s">
        <v>84</v>
      </c>
      <c r="E808" s="28" t="s">
        <v>48</v>
      </c>
      <c r="F808" s="28" t="s">
        <v>34</v>
      </c>
      <c r="G808" s="28" t="s">
        <v>33</v>
      </c>
      <c r="H808" s="28" t="s">
        <v>87</v>
      </c>
      <c r="I808" s="28">
        <v>4150</v>
      </c>
      <c r="J808" s="28">
        <v>126000</v>
      </c>
      <c r="K808" s="28">
        <v>5040</v>
      </c>
      <c r="L808" s="28">
        <v>252</v>
      </c>
      <c r="M808" s="28">
        <v>0.05</v>
      </c>
      <c r="N808" s="28">
        <v>37800</v>
      </c>
      <c r="O808" s="28">
        <v>0.04</v>
      </c>
      <c r="P808" s="28">
        <v>0.82</v>
      </c>
      <c r="Q808" s="28">
        <v>8.11</v>
      </c>
      <c r="R808" s="26"/>
      <c r="S808" s="26"/>
      <c r="T808" s="26"/>
      <c r="U808" s="26"/>
    </row>
    <row r="809" spans="1:21" x14ac:dyDescent="0.3">
      <c r="A809" s="26"/>
      <c r="B809" s="29">
        <v>45187</v>
      </c>
      <c r="C809" s="28" t="s">
        <v>11</v>
      </c>
      <c r="D809" s="28" t="s">
        <v>71</v>
      </c>
      <c r="E809" s="28" t="s">
        <v>48</v>
      </c>
      <c r="F809" s="28" t="s">
        <v>41</v>
      </c>
      <c r="G809" s="28" t="s">
        <v>31</v>
      </c>
      <c r="H809" s="28" t="s">
        <v>87</v>
      </c>
      <c r="I809" s="28">
        <v>4050</v>
      </c>
      <c r="J809" s="28">
        <v>122000</v>
      </c>
      <c r="K809" s="28">
        <v>6100</v>
      </c>
      <c r="L809" s="28">
        <v>305</v>
      </c>
      <c r="M809" s="28">
        <v>0.05</v>
      </c>
      <c r="N809" s="28">
        <v>45750</v>
      </c>
      <c r="O809" s="28">
        <v>0.05</v>
      </c>
      <c r="P809" s="28">
        <v>0.66</v>
      </c>
      <c r="Q809" s="28">
        <v>10.3</v>
      </c>
      <c r="R809" s="26"/>
      <c r="S809" s="26"/>
      <c r="T809" s="26"/>
      <c r="U809" s="26"/>
    </row>
    <row r="810" spans="1:21" x14ac:dyDescent="0.3">
      <c r="A810" s="26"/>
      <c r="B810" s="29">
        <v>45194</v>
      </c>
      <c r="C810" s="28" t="s">
        <v>11</v>
      </c>
      <c r="D810" s="28" t="s">
        <v>82</v>
      </c>
      <c r="E810" s="28" t="s">
        <v>47</v>
      </c>
      <c r="F810" s="28" t="s">
        <v>45</v>
      </c>
      <c r="G810" s="28" t="s">
        <v>32</v>
      </c>
      <c r="H810" s="28" t="s">
        <v>88</v>
      </c>
      <c r="I810" s="28">
        <v>4650</v>
      </c>
      <c r="J810" s="28">
        <v>143000</v>
      </c>
      <c r="K810" s="28">
        <v>5720</v>
      </c>
      <c r="L810" s="28">
        <v>286</v>
      </c>
      <c r="M810" s="28">
        <v>0.05</v>
      </c>
      <c r="N810" s="28">
        <v>42900</v>
      </c>
      <c r="O810" s="28">
        <v>0.04</v>
      </c>
      <c r="P810" s="28">
        <v>0.81</v>
      </c>
      <c r="Q810" s="28">
        <v>8.23</v>
      </c>
      <c r="R810" s="26"/>
      <c r="S810" s="26"/>
      <c r="T810" s="26"/>
      <c r="U810" s="26"/>
    </row>
    <row r="811" spans="1:21" x14ac:dyDescent="0.3">
      <c r="A811" s="26"/>
      <c r="B811" s="29">
        <v>45201</v>
      </c>
      <c r="C811" s="28" t="s">
        <v>12</v>
      </c>
      <c r="D811" s="28" t="s">
        <v>73</v>
      </c>
      <c r="E811" s="28" t="s">
        <v>47</v>
      </c>
      <c r="F811" s="28" t="s">
        <v>36</v>
      </c>
      <c r="G811" s="28" t="s">
        <v>30</v>
      </c>
      <c r="H811" s="28" t="s">
        <v>88</v>
      </c>
      <c r="I811" s="28">
        <v>6400</v>
      </c>
      <c r="J811" s="28">
        <v>67000</v>
      </c>
      <c r="K811" s="28">
        <v>2010</v>
      </c>
      <c r="L811" s="28">
        <v>100</v>
      </c>
      <c r="M811" s="28">
        <v>0.05</v>
      </c>
      <c r="N811" s="28">
        <v>25125</v>
      </c>
      <c r="O811" s="28">
        <v>0.03</v>
      </c>
      <c r="P811" s="28">
        <v>3.18</v>
      </c>
      <c r="Q811" s="28">
        <v>2.93</v>
      </c>
      <c r="R811" s="26"/>
      <c r="S811" s="26"/>
      <c r="T811" s="26"/>
      <c r="U811" s="26"/>
    </row>
    <row r="812" spans="1:21" x14ac:dyDescent="0.3">
      <c r="A812" s="26"/>
      <c r="B812" s="29">
        <v>45208</v>
      </c>
      <c r="C812" s="28" t="s">
        <v>13</v>
      </c>
      <c r="D812" s="28" t="s">
        <v>72</v>
      </c>
      <c r="E812" s="28" t="s">
        <v>47</v>
      </c>
      <c r="F812" s="28" t="s">
        <v>40</v>
      </c>
      <c r="G812" s="28" t="s">
        <v>31</v>
      </c>
      <c r="H812" s="28" t="s">
        <v>88</v>
      </c>
      <c r="I812" s="28">
        <v>4150</v>
      </c>
      <c r="J812" s="28">
        <v>125000</v>
      </c>
      <c r="K812" s="28">
        <v>6250</v>
      </c>
      <c r="L812" s="28">
        <v>312</v>
      </c>
      <c r="M812" s="28">
        <v>0.05</v>
      </c>
      <c r="N812" s="28">
        <v>46875</v>
      </c>
      <c r="O812" s="28">
        <v>0.05</v>
      </c>
      <c r="P812" s="28">
        <v>0.66</v>
      </c>
      <c r="Q812" s="28">
        <v>10.3</v>
      </c>
      <c r="R812" s="26"/>
      <c r="S812" s="26"/>
      <c r="T812" s="26"/>
      <c r="U812" s="26"/>
    </row>
    <row r="813" spans="1:21" x14ac:dyDescent="0.3">
      <c r="A813" s="26"/>
      <c r="B813" s="29">
        <v>45215</v>
      </c>
      <c r="C813" s="28" t="s">
        <v>12</v>
      </c>
      <c r="D813" s="28" t="s">
        <v>68</v>
      </c>
      <c r="E813" s="28" t="s">
        <v>47</v>
      </c>
      <c r="F813" s="28" t="s">
        <v>42</v>
      </c>
      <c r="G813" s="28" t="s">
        <v>33</v>
      </c>
      <c r="H813" s="28" t="s">
        <v>88</v>
      </c>
      <c r="I813" s="28">
        <v>4250</v>
      </c>
      <c r="J813" s="28">
        <v>129000</v>
      </c>
      <c r="K813" s="28">
        <v>5160</v>
      </c>
      <c r="L813" s="28">
        <v>258</v>
      </c>
      <c r="M813" s="28">
        <v>0.05</v>
      </c>
      <c r="N813" s="28">
        <v>38700</v>
      </c>
      <c r="O813" s="28">
        <v>0.04</v>
      </c>
      <c r="P813" s="28">
        <v>0.82</v>
      </c>
      <c r="Q813" s="28">
        <v>8.11</v>
      </c>
      <c r="R813" s="26"/>
      <c r="S813" s="26"/>
      <c r="T813" s="26"/>
      <c r="U813" s="26"/>
    </row>
    <row r="814" spans="1:21" x14ac:dyDescent="0.3">
      <c r="A814" s="26"/>
      <c r="B814" s="29">
        <v>45222</v>
      </c>
      <c r="C814" s="28" t="s">
        <v>12</v>
      </c>
      <c r="D814" s="28" t="s">
        <v>82</v>
      </c>
      <c r="E814" s="28" t="s">
        <v>47</v>
      </c>
      <c r="F814" s="28" t="s">
        <v>34</v>
      </c>
      <c r="G814" s="28" t="s">
        <v>31</v>
      </c>
      <c r="H814" s="28" t="s">
        <v>88</v>
      </c>
      <c r="I814" s="28">
        <v>4250</v>
      </c>
      <c r="J814" s="28">
        <v>128000</v>
      </c>
      <c r="K814" s="28">
        <v>6400</v>
      </c>
      <c r="L814" s="28">
        <v>320</v>
      </c>
      <c r="M814" s="28">
        <v>0.05</v>
      </c>
      <c r="N814" s="28">
        <v>48000</v>
      </c>
      <c r="O814" s="28">
        <v>0.05</v>
      </c>
      <c r="P814" s="28">
        <v>0.66</v>
      </c>
      <c r="Q814" s="28">
        <v>10.29</v>
      </c>
      <c r="R814" s="26"/>
      <c r="S814" s="26"/>
      <c r="T814" s="26"/>
      <c r="U814" s="26"/>
    </row>
    <row r="815" spans="1:21" x14ac:dyDescent="0.3">
      <c r="A815" s="26"/>
      <c r="B815" s="29">
        <v>45229</v>
      </c>
      <c r="C815" s="28" t="s">
        <v>13</v>
      </c>
      <c r="D815" s="28" t="s">
        <v>77</v>
      </c>
      <c r="E815" s="28" t="s">
        <v>49</v>
      </c>
      <c r="F815" s="28" t="s">
        <v>42</v>
      </c>
      <c r="G815" s="28" t="s">
        <v>32</v>
      </c>
      <c r="H815" s="28" t="s">
        <v>88</v>
      </c>
      <c r="I815" s="28">
        <v>4750</v>
      </c>
      <c r="J815" s="28">
        <v>146000</v>
      </c>
      <c r="K815" s="28">
        <v>5840</v>
      </c>
      <c r="L815" s="28">
        <v>292</v>
      </c>
      <c r="M815" s="28">
        <v>0.05</v>
      </c>
      <c r="N815" s="28">
        <v>43800</v>
      </c>
      <c r="O815" s="28">
        <v>0.04</v>
      </c>
      <c r="P815" s="28">
        <v>0.81</v>
      </c>
      <c r="Q815" s="28">
        <v>8.2200000000000006</v>
      </c>
      <c r="R815" s="26"/>
      <c r="S815" s="26"/>
      <c r="T815" s="26"/>
      <c r="U815" s="26"/>
    </row>
    <row r="816" spans="1:21" x14ac:dyDescent="0.3">
      <c r="A816" s="26"/>
      <c r="B816" s="29">
        <v>45236</v>
      </c>
      <c r="C816" s="28" t="s">
        <v>12</v>
      </c>
      <c r="D816" s="28" t="s">
        <v>72</v>
      </c>
      <c r="E816" s="28" t="s">
        <v>47</v>
      </c>
      <c r="F816" s="28" t="s">
        <v>42</v>
      </c>
      <c r="G816" s="28" t="s">
        <v>30</v>
      </c>
      <c r="H816" s="28" t="s">
        <v>88</v>
      </c>
      <c r="I816" s="28">
        <v>6500</v>
      </c>
      <c r="J816" s="28">
        <v>68000</v>
      </c>
      <c r="K816" s="28">
        <v>2040</v>
      </c>
      <c r="L816" s="28">
        <v>102</v>
      </c>
      <c r="M816" s="28">
        <v>0.05</v>
      </c>
      <c r="N816" s="28">
        <v>25500</v>
      </c>
      <c r="O816" s="28">
        <v>0.03</v>
      </c>
      <c r="P816" s="28">
        <v>3.19</v>
      </c>
      <c r="Q816" s="28">
        <v>2.92</v>
      </c>
      <c r="R816" s="26"/>
      <c r="S816" s="26"/>
      <c r="T816" s="26"/>
      <c r="U816" s="26"/>
    </row>
    <row r="817" spans="1:21" x14ac:dyDescent="0.3">
      <c r="A817" s="26"/>
      <c r="B817" s="29">
        <v>45243</v>
      </c>
      <c r="C817" s="28" t="s">
        <v>10</v>
      </c>
      <c r="D817" s="28" t="s">
        <v>81</v>
      </c>
      <c r="E817" s="28" t="s">
        <v>48</v>
      </c>
      <c r="F817" s="28" t="s">
        <v>36</v>
      </c>
      <c r="G817" s="28" t="s">
        <v>31</v>
      </c>
      <c r="H817" s="28" t="s">
        <v>88</v>
      </c>
      <c r="I817" s="28">
        <v>4350</v>
      </c>
      <c r="J817" s="28">
        <v>131000</v>
      </c>
      <c r="K817" s="28">
        <v>6550</v>
      </c>
      <c r="L817" s="28">
        <v>328</v>
      </c>
      <c r="M817" s="28">
        <v>0.05</v>
      </c>
      <c r="N817" s="28">
        <v>49125</v>
      </c>
      <c r="O817" s="28">
        <v>0.05</v>
      </c>
      <c r="P817" s="28">
        <v>0.66</v>
      </c>
      <c r="Q817" s="28">
        <v>10.29</v>
      </c>
      <c r="R817" s="26"/>
      <c r="S817" s="26"/>
      <c r="T817" s="26"/>
      <c r="U817" s="26"/>
    </row>
    <row r="818" spans="1:21" x14ac:dyDescent="0.3">
      <c r="A818" s="26"/>
      <c r="B818" s="29">
        <v>45250</v>
      </c>
      <c r="C818" s="28" t="s">
        <v>11</v>
      </c>
      <c r="D818" s="28" t="s">
        <v>65</v>
      </c>
      <c r="E818" s="28" t="s">
        <v>47</v>
      </c>
      <c r="F818" s="28" t="s">
        <v>41</v>
      </c>
      <c r="G818" s="28" t="s">
        <v>33</v>
      </c>
      <c r="H818" s="28" t="s">
        <v>88</v>
      </c>
      <c r="I818" s="28">
        <v>4350</v>
      </c>
      <c r="J818" s="28">
        <v>132000</v>
      </c>
      <c r="K818" s="28">
        <v>5280</v>
      </c>
      <c r="L818" s="28">
        <v>264</v>
      </c>
      <c r="M818" s="28">
        <v>0.05</v>
      </c>
      <c r="N818" s="28">
        <v>39600</v>
      </c>
      <c r="O818" s="28">
        <v>0.04</v>
      </c>
      <c r="P818" s="28">
        <v>0.82</v>
      </c>
      <c r="Q818" s="28">
        <v>8.1</v>
      </c>
      <c r="R818" s="26"/>
      <c r="S818" s="26"/>
      <c r="T818" s="26"/>
      <c r="U818" s="26"/>
    </row>
    <row r="819" spans="1:21" x14ac:dyDescent="0.3">
      <c r="A819" s="26"/>
      <c r="B819" s="29">
        <v>45257</v>
      </c>
      <c r="C819" s="28" t="s">
        <v>12</v>
      </c>
      <c r="D819" s="28" t="s">
        <v>83</v>
      </c>
      <c r="E819" s="28" t="s">
        <v>49</v>
      </c>
      <c r="F819" s="28" t="s">
        <v>44</v>
      </c>
      <c r="G819" s="28" t="s">
        <v>31</v>
      </c>
      <c r="H819" s="28" t="s">
        <v>88</v>
      </c>
      <c r="I819" s="28">
        <v>4450</v>
      </c>
      <c r="J819" s="28">
        <v>134000</v>
      </c>
      <c r="K819" s="28">
        <v>6700</v>
      </c>
      <c r="L819" s="28">
        <v>335</v>
      </c>
      <c r="M819" s="28">
        <v>0.05</v>
      </c>
      <c r="N819" s="28">
        <v>50250</v>
      </c>
      <c r="O819" s="28">
        <v>0.05</v>
      </c>
      <c r="P819" s="28">
        <v>0.66</v>
      </c>
      <c r="Q819" s="28">
        <v>10.29</v>
      </c>
      <c r="R819" s="26"/>
      <c r="S819" s="26"/>
      <c r="T819" s="26"/>
      <c r="U819" s="26"/>
    </row>
    <row r="820" spans="1:21" x14ac:dyDescent="0.3">
      <c r="A820" s="26"/>
      <c r="B820" s="29">
        <v>45264</v>
      </c>
      <c r="C820" s="28" t="s">
        <v>12</v>
      </c>
      <c r="D820" s="28" t="s">
        <v>78</v>
      </c>
      <c r="E820" s="28" t="s">
        <v>48</v>
      </c>
      <c r="F820" s="28" t="s">
        <v>45</v>
      </c>
      <c r="G820" s="28" t="s">
        <v>32</v>
      </c>
      <c r="H820" s="28" t="s">
        <v>88</v>
      </c>
      <c r="I820" s="28">
        <v>4850</v>
      </c>
      <c r="J820" s="28">
        <v>149000</v>
      </c>
      <c r="K820" s="28">
        <v>5960</v>
      </c>
      <c r="L820" s="28">
        <v>298</v>
      </c>
      <c r="M820" s="28">
        <v>0.05</v>
      </c>
      <c r="N820" s="28">
        <v>44700</v>
      </c>
      <c r="O820" s="28">
        <v>0.04</v>
      </c>
      <c r="P820" s="28">
        <v>0.81</v>
      </c>
      <c r="Q820" s="28">
        <v>8.2200000000000006</v>
      </c>
      <c r="R820" s="26"/>
      <c r="S820" s="26"/>
      <c r="T820" s="26"/>
      <c r="U820" s="26"/>
    </row>
    <row r="821" spans="1:21" x14ac:dyDescent="0.3">
      <c r="A821" s="26"/>
      <c r="B821" s="29">
        <v>45271</v>
      </c>
      <c r="C821" s="28" t="s">
        <v>12</v>
      </c>
      <c r="D821" s="28" t="s">
        <v>70</v>
      </c>
      <c r="E821" s="28" t="s">
        <v>49</v>
      </c>
      <c r="F821" s="28" t="s">
        <v>40</v>
      </c>
      <c r="G821" s="28" t="s">
        <v>30</v>
      </c>
      <c r="H821" s="28" t="s">
        <v>88</v>
      </c>
      <c r="I821" s="28">
        <v>6600</v>
      </c>
      <c r="J821" s="28">
        <v>69000</v>
      </c>
      <c r="K821" s="28">
        <v>2070</v>
      </c>
      <c r="L821" s="28">
        <v>104</v>
      </c>
      <c r="M821" s="28">
        <v>0.05</v>
      </c>
      <c r="N821" s="28">
        <v>25875</v>
      </c>
      <c r="O821" s="28">
        <v>0.03</v>
      </c>
      <c r="P821" s="28">
        <v>3.19</v>
      </c>
      <c r="Q821" s="28">
        <v>2.92</v>
      </c>
      <c r="R821" s="26"/>
      <c r="S821" s="26"/>
      <c r="T821" s="26"/>
      <c r="U821" s="26"/>
    </row>
    <row r="822" spans="1:21" x14ac:dyDescent="0.3">
      <c r="A822" s="26"/>
      <c r="B822" s="29">
        <v>45278</v>
      </c>
      <c r="C822" s="28" t="s">
        <v>13</v>
      </c>
      <c r="D822" s="28" t="s">
        <v>75</v>
      </c>
      <c r="E822" s="28" t="s">
        <v>47</v>
      </c>
      <c r="F822" s="28" t="s">
        <v>41</v>
      </c>
      <c r="G822" s="28" t="s">
        <v>31</v>
      </c>
      <c r="H822" s="28" t="s">
        <v>88</v>
      </c>
      <c r="I822" s="28">
        <v>4550</v>
      </c>
      <c r="J822" s="28">
        <v>137000</v>
      </c>
      <c r="K822" s="28">
        <v>6850</v>
      </c>
      <c r="L822" s="28">
        <v>342</v>
      </c>
      <c r="M822" s="28">
        <v>0.05</v>
      </c>
      <c r="N822" s="28">
        <v>51375</v>
      </c>
      <c r="O822" s="28">
        <v>0.05</v>
      </c>
      <c r="P822" s="28">
        <v>0.66</v>
      </c>
      <c r="Q822" s="28">
        <v>10.29</v>
      </c>
      <c r="R822" s="26"/>
      <c r="S822" s="26"/>
      <c r="T822" s="26"/>
      <c r="U822" s="26"/>
    </row>
    <row r="823" spans="1:21" x14ac:dyDescent="0.3">
      <c r="A823" s="26"/>
      <c r="B823" s="29">
        <v>45285</v>
      </c>
      <c r="C823" s="28" t="s">
        <v>10</v>
      </c>
      <c r="D823" s="28" t="s">
        <v>69</v>
      </c>
      <c r="E823" s="28" t="s">
        <v>47</v>
      </c>
      <c r="F823" s="28" t="s">
        <v>41</v>
      </c>
      <c r="G823" s="28" t="s">
        <v>33</v>
      </c>
      <c r="H823" s="28" t="s">
        <v>88</v>
      </c>
      <c r="I823" s="28">
        <v>4450</v>
      </c>
      <c r="J823" s="28">
        <v>135000</v>
      </c>
      <c r="K823" s="28">
        <v>5400</v>
      </c>
      <c r="L823" s="28">
        <v>270</v>
      </c>
      <c r="M823" s="28">
        <v>0.05</v>
      </c>
      <c r="N823" s="28">
        <v>40500</v>
      </c>
      <c r="O823" s="28">
        <v>0.04</v>
      </c>
      <c r="P823" s="28">
        <v>0.82</v>
      </c>
      <c r="Q823" s="28">
        <v>8.1</v>
      </c>
      <c r="R823" s="26"/>
      <c r="S823" s="26"/>
      <c r="T823" s="26"/>
      <c r="U823" s="26"/>
    </row>
    <row r="824" spans="1:21" x14ac:dyDescent="0.3">
      <c r="A824" s="26"/>
      <c r="B824" s="29">
        <v>45292</v>
      </c>
      <c r="C824" s="28" t="s">
        <v>13</v>
      </c>
      <c r="D824" s="28" t="s">
        <v>76</v>
      </c>
      <c r="E824" s="28" t="s">
        <v>49</v>
      </c>
      <c r="F824" s="28" t="s">
        <v>35</v>
      </c>
      <c r="G824" s="28" t="s">
        <v>31</v>
      </c>
      <c r="H824" s="28" t="s">
        <v>85</v>
      </c>
      <c r="I824" s="28">
        <v>4650</v>
      </c>
      <c r="J824" s="28">
        <v>140000</v>
      </c>
      <c r="K824" s="28">
        <v>7000</v>
      </c>
      <c r="L824" s="28">
        <v>350</v>
      </c>
      <c r="M824" s="28">
        <v>0.05</v>
      </c>
      <c r="N824" s="28">
        <v>52500</v>
      </c>
      <c r="O824" s="28">
        <v>0.05</v>
      </c>
      <c r="P824" s="28">
        <v>0.66</v>
      </c>
      <c r="Q824" s="28">
        <v>10.29</v>
      </c>
      <c r="R824" s="26"/>
      <c r="S824" s="26"/>
      <c r="T824" s="26"/>
      <c r="U824" s="26"/>
    </row>
    <row r="825" spans="1:21" x14ac:dyDescent="0.3">
      <c r="A825" s="26"/>
      <c r="B825" s="29">
        <v>45299</v>
      </c>
      <c r="C825" s="28" t="s">
        <v>11</v>
      </c>
      <c r="D825" s="28" t="s">
        <v>77</v>
      </c>
      <c r="E825" s="28" t="s">
        <v>49</v>
      </c>
      <c r="F825" s="28" t="s">
        <v>41</v>
      </c>
      <c r="G825" s="28" t="s">
        <v>32</v>
      </c>
      <c r="H825" s="28" t="s">
        <v>85</v>
      </c>
      <c r="I825" s="28">
        <v>4950</v>
      </c>
      <c r="J825" s="28">
        <v>152000</v>
      </c>
      <c r="K825" s="28">
        <v>6080</v>
      </c>
      <c r="L825" s="28">
        <v>304</v>
      </c>
      <c r="M825" s="28">
        <v>0.05</v>
      </c>
      <c r="N825" s="28">
        <v>45600</v>
      </c>
      <c r="O825" s="28">
        <v>0.04</v>
      </c>
      <c r="P825" s="28">
        <v>0.81</v>
      </c>
      <c r="Q825" s="28">
        <v>8.2100000000000009</v>
      </c>
      <c r="R825" s="26"/>
      <c r="S825" s="26"/>
      <c r="T825" s="26"/>
      <c r="U825" s="26"/>
    </row>
    <row r="826" spans="1:21" x14ac:dyDescent="0.3">
      <c r="A826" s="26"/>
      <c r="B826" s="29">
        <v>45306</v>
      </c>
      <c r="C826" s="28" t="s">
        <v>12</v>
      </c>
      <c r="D826" s="28" t="s">
        <v>81</v>
      </c>
      <c r="E826" s="28" t="s">
        <v>48</v>
      </c>
      <c r="F826" s="28" t="s">
        <v>45</v>
      </c>
      <c r="G826" s="28" t="s">
        <v>30</v>
      </c>
      <c r="H826" s="28" t="s">
        <v>85</v>
      </c>
      <c r="I826" s="28">
        <v>6700</v>
      </c>
      <c r="J826" s="28">
        <v>70000</v>
      </c>
      <c r="K826" s="28">
        <v>2100</v>
      </c>
      <c r="L826" s="28">
        <v>105</v>
      </c>
      <c r="M826" s="28">
        <v>0.05</v>
      </c>
      <c r="N826" s="28">
        <v>26250</v>
      </c>
      <c r="O826" s="28">
        <v>0.03</v>
      </c>
      <c r="P826" s="28">
        <v>3.19</v>
      </c>
      <c r="Q826" s="28">
        <v>2.92</v>
      </c>
      <c r="R826" s="26"/>
      <c r="S826" s="26"/>
      <c r="T826" s="26"/>
      <c r="U826" s="26"/>
    </row>
    <row r="827" spans="1:21" x14ac:dyDescent="0.3">
      <c r="A827" s="26"/>
      <c r="B827" s="29">
        <v>45313</v>
      </c>
      <c r="C827" s="28" t="s">
        <v>11</v>
      </c>
      <c r="D827" s="28" t="s">
        <v>67</v>
      </c>
      <c r="E827" s="28" t="s">
        <v>48</v>
      </c>
      <c r="F827" s="28" t="s">
        <v>45</v>
      </c>
      <c r="G827" s="28" t="s">
        <v>31</v>
      </c>
      <c r="H827" s="28" t="s">
        <v>85</v>
      </c>
      <c r="I827" s="28">
        <v>4750</v>
      </c>
      <c r="J827" s="28">
        <v>143000</v>
      </c>
      <c r="K827" s="28">
        <v>7150</v>
      </c>
      <c r="L827" s="28">
        <v>358</v>
      </c>
      <c r="M827" s="28">
        <v>0.05</v>
      </c>
      <c r="N827" s="28">
        <v>53625</v>
      </c>
      <c r="O827" s="28">
        <v>0.05</v>
      </c>
      <c r="P827" s="28">
        <v>0.66</v>
      </c>
      <c r="Q827" s="28">
        <v>10.29</v>
      </c>
      <c r="R827" s="26"/>
      <c r="S827" s="26"/>
      <c r="T827" s="26"/>
      <c r="U827" s="26"/>
    </row>
    <row r="828" spans="1:21" x14ac:dyDescent="0.3">
      <c r="A828" s="26"/>
      <c r="B828" s="29">
        <v>45320</v>
      </c>
      <c r="C828" s="28" t="s">
        <v>12</v>
      </c>
      <c r="D828" s="28" t="s">
        <v>78</v>
      </c>
      <c r="E828" s="28" t="s">
        <v>48</v>
      </c>
      <c r="F828" s="28" t="s">
        <v>37</v>
      </c>
      <c r="G828" s="28" t="s">
        <v>33</v>
      </c>
      <c r="H828" s="28" t="s">
        <v>85</v>
      </c>
      <c r="I828" s="28">
        <v>4550</v>
      </c>
      <c r="J828" s="28">
        <v>138000</v>
      </c>
      <c r="K828" s="28">
        <v>5520</v>
      </c>
      <c r="L828" s="28">
        <v>276</v>
      </c>
      <c r="M828" s="28">
        <v>0.05</v>
      </c>
      <c r="N828" s="28">
        <v>41400</v>
      </c>
      <c r="O828" s="28">
        <v>0.04</v>
      </c>
      <c r="P828" s="28">
        <v>0.82</v>
      </c>
      <c r="Q828" s="28">
        <v>8.1</v>
      </c>
      <c r="R828" s="26"/>
      <c r="S828" s="26"/>
      <c r="T828" s="26"/>
      <c r="U828" s="26"/>
    </row>
    <row r="829" spans="1:21" x14ac:dyDescent="0.3">
      <c r="A829" s="26"/>
      <c r="B829" s="29">
        <v>45327</v>
      </c>
      <c r="C829" s="28" t="s">
        <v>13</v>
      </c>
      <c r="D829" s="28" t="s">
        <v>66</v>
      </c>
      <c r="E829" s="28" t="s">
        <v>48</v>
      </c>
      <c r="F829" s="28" t="s">
        <v>44</v>
      </c>
      <c r="G829" s="28" t="s">
        <v>31</v>
      </c>
      <c r="H829" s="28" t="s">
        <v>85</v>
      </c>
      <c r="I829" s="28">
        <v>4850</v>
      </c>
      <c r="J829" s="28">
        <v>146000</v>
      </c>
      <c r="K829" s="28">
        <v>7300</v>
      </c>
      <c r="L829" s="28">
        <v>365</v>
      </c>
      <c r="M829" s="28">
        <v>0.05</v>
      </c>
      <c r="N829" s="28">
        <v>54750</v>
      </c>
      <c r="O829" s="28">
        <v>0.05</v>
      </c>
      <c r="P829" s="28">
        <v>0.66</v>
      </c>
      <c r="Q829" s="28">
        <v>10.29</v>
      </c>
      <c r="R829" s="26"/>
      <c r="S829" s="26"/>
      <c r="T829" s="26"/>
      <c r="U829" s="26"/>
    </row>
    <row r="830" spans="1:21" x14ac:dyDescent="0.3">
      <c r="A830" s="26"/>
      <c r="B830" s="29">
        <v>45334</v>
      </c>
      <c r="C830" s="28" t="s">
        <v>11</v>
      </c>
      <c r="D830" s="28" t="s">
        <v>78</v>
      </c>
      <c r="E830" s="28" t="s">
        <v>48</v>
      </c>
      <c r="F830" s="28" t="s">
        <v>40</v>
      </c>
      <c r="G830" s="28" t="s">
        <v>32</v>
      </c>
      <c r="H830" s="28" t="s">
        <v>85</v>
      </c>
      <c r="I830" s="28">
        <v>5050</v>
      </c>
      <c r="J830" s="28">
        <v>155000</v>
      </c>
      <c r="K830" s="28">
        <v>6200</v>
      </c>
      <c r="L830" s="28">
        <v>310</v>
      </c>
      <c r="M830" s="28">
        <v>0.05</v>
      </c>
      <c r="N830" s="28">
        <v>46500</v>
      </c>
      <c r="O830" s="28">
        <v>0.04</v>
      </c>
      <c r="P830" s="28">
        <v>0.81</v>
      </c>
      <c r="Q830" s="28">
        <v>8.2100000000000009</v>
      </c>
      <c r="R830" s="26"/>
      <c r="S830" s="26"/>
      <c r="T830" s="26"/>
      <c r="U830" s="26"/>
    </row>
    <row r="831" spans="1:21" x14ac:dyDescent="0.3">
      <c r="A831" s="26"/>
      <c r="B831" s="29">
        <v>45341</v>
      </c>
      <c r="C831" s="28" t="s">
        <v>10</v>
      </c>
      <c r="D831" s="28" t="s">
        <v>82</v>
      </c>
      <c r="E831" s="28" t="s">
        <v>47</v>
      </c>
      <c r="F831" s="28" t="s">
        <v>45</v>
      </c>
      <c r="G831" s="28" t="s">
        <v>30</v>
      </c>
      <c r="H831" s="28" t="s">
        <v>85</v>
      </c>
      <c r="I831" s="28">
        <v>6800</v>
      </c>
      <c r="J831" s="28">
        <v>71000</v>
      </c>
      <c r="K831" s="28">
        <v>2130</v>
      </c>
      <c r="L831" s="28">
        <v>106</v>
      </c>
      <c r="M831" s="28">
        <v>0.05</v>
      </c>
      <c r="N831" s="28">
        <v>26625</v>
      </c>
      <c r="O831" s="28">
        <v>0.03</v>
      </c>
      <c r="P831" s="28">
        <v>3.19</v>
      </c>
      <c r="Q831" s="28">
        <v>2.92</v>
      </c>
      <c r="R831" s="26"/>
      <c r="S831" s="26"/>
      <c r="T831" s="26"/>
      <c r="U831" s="26"/>
    </row>
    <row r="832" spans="1:21" x14ac:dyDescent="0.3">
      <c r="A832" s="26"/>
      <c r="B832" s="29">
        <v>45348</v>
      </c>
      <c r="C832" s="28" t="s">
        <v>11</v>
      </c>
      <c r="D832" s="28" t="s">
        <v>70</v>
      </c>
      <c r="E832" s="28" t="s">
        <v>49</v>
      </c>
      <c r="F832" s="28" t="s">
        <v>41</v>
      </c>
      <c r="G832" s="28" t="s">
        <v>31</v>
      </c>
      <c r="H832" s="28" t="s">
        <v>85</v>
      </c>
      <c r="I832" s="28">
        <v>4950</v>
      </c>
      <c r="J832" s="28">
        <v>149000</v>
      </c>
      <c r="K832" s="28">
        <v>7450</v>
      </c>
      <c r="L832" s="28">
        <v>372</v>
      </c>
      <c r="M832" s="28">
        <v>0.05</v>
      </c>
      <c r="N832" s="28">
        <v>55875</v>
      </c>
      <c r="O832" s="28">
        <v>0.05</v>
      </c>
      <c r="P832" s="28">
        <v>0.66</v>
      </c>
      <c r="Q832" s="28">
        <v>10.29</v>
      </c>
      <c r="R832" s="26"/>
      <c r="S832" s="26"/>
      <c r="T832" s="26"/>
      <c r="U832" s="26"/>
    </row>
    <row r="833" spans="1:21" x14ac:dyDescent="0.3">
      <c r="A833" s="26"/>
      <c r="B833" s="29">
        <v>45355</v>
      </c>
      <c r="C833" s="28" t="s">
        <v>10</v>
      </c>
      <c r="D833" s="28" t="s">
        <v>79</v>
      </c>
      <c r="E833" s="28" t="s">
        <v>47</v>
      </c>
      <c r="F833" s="28" t="s">
        <v>41</v>
      </c>
      <c r="G833" s="28" t="s">
        <v>33</v>
      </c>
      <c r="H833" s="28" t="s">
        <v>85</v>
      </c>
      <c r="I833" s="28">
        <v>4650</v>
      </c>
      <c r="J833" s="28">
        <v>141000</v>
      </c>
      <c r="K833" s="28">
        <v>5640</v>
      </c>
      <c r="L833" s="28">
        <v>282</v>
      </c>
      <c r="M833" s="28">
        <v>0.05</v>
      </c>
      <c r="N833" s="28">
        <v>42300</v>
      </c>
      <c r="O833" s="28">
        <v>0.04</v>
      </c>
      <c r="P833" s="28">
        <v>0.82</v>
      </c>
      <c r="Q833" s="28">
        <v>8.1</v>
      </c>
      <c r="R833" s="26"/>
      <c r="S833" s="26"/>
      <c r="T833" s="26"/>
      <c r="U833" s="26"/>
    </row>
    <row r="834" spans="1:21" x14ac:dyDescent="0.3">
      <c r="A834" s="26"/>
      <c r="B834" s="29">
        <v>45362</v>
      </c>
      <c r="C834" s="28" t="s">
        <v>11</v>
      </c>
      <c r="D834" s="28" t="s">
        <v>73</v>
      </c>
      <c r="E834" s="28" t="s">
        <v>47</v>
      </c>
      <c r="F834" s="28" t="s">
        <v>45</v>
      </c>
      <c r="G834" s="28" t="s">
        <v>31</v>
      </c>
      <c r="H834" s="28" t="s">
        <v>85</v>
      </c>
      <c r="I834" s="28">
        <v>5050</v>
      </c>
      <c r="J834" s="28">
        <v>152000</v>
      </c>
      <c r="K834" s="28">
        <v>7600</v>
      </c>
      <c r="L834" s="28">
        <v>380</v>
      </c>
      <c r="M834" s="28">
        <v>0.05</v>
      </c>
      <c r="N834" s="28">
        <v>57000</v>
      </c>
      <c r="O834" s="28">
        <v>0.05</v>
      </c>
      <c r="P834" s="28">
        <v>0.66</v>
      </c>
      <c r="Q834" s="28">
        <v>10.29</v>
      </c>
      <c r="R834" s="26"/>
      <c r="S834" s="26"/>
      <c r="T834" s="26"/>
      <c r="U834" s="26"/>
    </row>
    <row r="835" spans="1:21" x14ac:dyDescent="0.3">
      <c r="A835" s="26"/>
      <c r="B835" s="29">
        <v>45369</v>
      </c>
      <c r="C835" s="28" t="s">
        <v>12</v>
      </c>
      <c r="D835" s="28" t="s">
        <v>74</v>
      </c>
      <c r="E835" s="28" t="s">
        <v>49</v>
      </c>
      <c r="F835" s="28" t="s">
        <v>36</v>
      </c>
      <c r="G835" s="28" t="s">
        <v>32</v>
      </c>
      <c r="H835" s="28" t="s">
        <v>86</v>
      </c>
      <c r="I835" s="28">
        <v>5150</v>
      </c>
      <c r="J835" s="28">
        <v>158000</v>
      </c>
      <c r="K835" s="28">
        <v>6320</v>
      </c>
      <c r="L835" s="28">
        <v>316</v>
      </c>
      <c r="M835" s="28">
        <v>0.05</v>
      </c>
      <c r="N835" s="28">
        <v>47400</v>
      </c>
      <c r="O835" s="28">
        <v>0.04</v>
      </c>
      <c r="P835" s="28">
        <v>0.81</v>
      </c>
      <c r="Q835" s="28">
        <v>8.1999999999999993</v>
      </c>
      <c r="R835" s="26"/>
      <c r="S835" s="26"/>
      <c r="T835" s="26"/>
      <c r="U835" s="26"/>
    </row>
    <row r="836" spans="1:21" x14ac:dyDescent="0.3">
      <c r="A836" s="26"/>
      <c r="B836" s="29">
        <v>45376</v>
      </c>
      <c r="C836" s="28" t="s">
        <v>11</v>
      </c>
      <c r="D836" s="28" t="s">
        <v>82</v>
      </c>
      <c r="E836" s="28" t="s">
        <v>47</v>
      </c>
      <c r="F836" s="28" t="s">
        <v>45</v>
      </c>
      <c r="G836" s="28" t="s">
        <v>30</v>
      </c>
      <c r="H836" s="28" t="s">
        <v>86</v>
      </c>
      <c r="I836" s="28">
        <v>6900</v>
      </c>
      <c r="J836" s="28">
        <v>72000</v>
      </c>
      <c r="K836" s="28">
        <v>2160</v>
      </c>
      <c r="L836" s="28">
        <v>108</v>
      </c>
      <c r="M836" s="28">
        <v>0.05</v>
      </c>
      <c r="N836" s="28">
        <v>27000</v>
      </c>
      <c r="O836" s="28">
        <v>0.03</v>
      </c>
      <c r="P836" s="28">
        <v>3.19</v>
      </c>
      <c r="Q836" s="28">
        <v>2.91</v>
      </c>
      <c r="R836" s="26"/>
      <c r="S836" s="26"/>
      <c r="T836" s="26"/>
      <c r="U836" s="26"/>
    </row>
    <row r="837" spans="1:21" x14ac:dyDescent="0.3">
      <c r="A837" s="26"/>
      <c r="B837" s="29">
        <v>45383</v>
      </c>
      <c r="C837" s="28" t="s">
        <v>13</v>
      </c>
      <c r="D837" s="28" t="s">
        <v>79</v>
      </c>
      <c r="E837" s="28" t="s">
        <v>47</v>
      </c>
      <c r="F837" s="28" t="s">
        <v>45</v>
      </c>
      <c r="G837" s="28" t="s">
        <v>31</v>
      </c>
      <c r="H837" s="28" t="s">
        <v>86</v>
      </c>
      <c r="I837" s="28">
        <v>5150</v>
      </c>
      <c r="J837" s="28">
        <v>155000</v>
      </c>
      <c r="K837" s="28">
        <v>7750</v>
      </c>
      <c r="L837" s="28">
        <v>388</v>
      </c>
      <c r="M837" s="28">
        <v>0.05</v>
      </c>
      <c r="N837" s="28">
        <v>58125</v>
      </c>
      <c r="O837" s="28">
        <v>0.05</v>
      </c>
      <c r="P837" s="28">
        <v>0.66</v>
      </c>
      <c r="Q837" s="28">
        <v>10.29</v>
      </c>
      <c r="R837" s="26"/>
      <c r="S837" s="26"/>
      <c r="T837" s="26"/>
      <c r="U837" s="26"/>
    </row>
    <row r="838" spans="1:21" x14ac:dyDescent="0.3">
      <c r="A838" s="26"/>
      <c r="B838" s="29">
        <v>45390</v>
      </c>
      <c r="C838" s="28" t="s">
        <v>13</v>
      </c>
      <c r="D838" s="28" t="s">
        <v>78</v>
      </c>
      <c r="E838" s="28" t="s">
        <v>48</v>
      </c>
      <c r="F838" s="28" t="s">
        <v>35</v>
      </c>
      <c r="G838" s="28" t="s">
        <v>33</v>
      </c>
      <c r="H838" s="28" t="s">
        <v>86</v>
      </c>
      <c r="I838" s="28">
        <v>4750</v>
      </c>
      <c r="J838" s="28">
        <v>144000</v>
      </c>
      <c r="K838" s="28">
        <v>5760</v>
      </c>
      <c r="L838" s="28">
        <v>288</v>
      </c>
      <c r="M838" s="28">
        <v>0.05</v>
      </c>
      <c r="N838" s="28">
        <v>43200</v>
      </c>
      <c r="O838" s="28">
        <v>0.04</v>
      </c>
      <c r="P838" s="28">
        <v>0.82</v>
      </c>
      <c r="Q838" s="28">
        <v>8.09</v>
      </c>
      <c r="R838" s="26"/>
      <c r="S838" s="26"/>
      <c r="T838" s="26"/>
      <c r="U838" s="26"/>
    </row>
    <row r="839" spans="1:21" x14ac:dyDescent="0.3">
      <c r="A839" s="26"/>
      <c r="B839" s="29">
        <v>45397</v>
      </c>
      <c r="C839" s="28" t="s">
        <v>13</v>
      </c>
      <c r="D839" s="28" t="s">
        <v>74</v>
      </c>
      <c r="E839" s="28" t="s">
        <v>49</v>
      </c>
      <c r="F839" s="28" t="s">
        <v>45</v>
      </c>
      <c r="G839" s="28" t="s">
        <v>31</v>
      </c>
      <c r="H839" s="28" t="s">
        <v>86</v>
      </c>
      <c r="I839" s="28">
        <v>5250</v>
      </c>
      <c r="J839" s="28">
        <v>158000</v>
      </c>
      <c r="K839" s="28">
        <v>7900</v>
      </c>
      <c r="L839" s="28">
        <v>395</v>
      </c>
      <c r="M839" s="28">
        <v>0.05</v>
      </c>
      <c r="N839" s="28">
        <v>59250</v>
      </c>
      <c r="O839" s="28">
        <v>0.05</v>
      </c>
      <c r="P839" s="28">
        <v>0.66</v>
      </c>
      <c r="Q839" s="28">
        <v>10.29</v>
      </c>
      <c r="R839" s="26"/>
      <c r="S839" s="26"/>
      <c r="T839" s="26"/>
      <c r="U839" s="26"/>
    </row>
    <row r="840" spans="1:21" x14ac:dyDescent="0.3">
      <c r="A840" s="26"/>
      <c r="B840" s="29">
        <v>45404</v>
      </c>
      <c r="C840" s="28" t="s">
        <v>12</v>
      </c>
      <c r="D840" s="28" t="s">
        <v>75</v>
      </c>
      <c r="E840" s="28" t="s">
        <v>47</v>
      </c>
      <c r="F840" s="28" t="s">
        <v>36</v>
      </c>
      <c r="G840" s="28" t="s">
        <v>32</v>
      </c>
      <c r="H840" s="28" t="s">
        <v>86</v>
      </c>
      <c r="I840" s="28">
        <v>5250</v>
      </c>
      <c r="J840" s="28">
        <v>161000</v>
      </c>
      <c r="K840" s="28">
        <v>6440</v>
      </c>
      <c r="L840" s="28">
        <v>322</v>
      </c>
      <c r="M840" s="28">
        <v>0.05</v>
      </c>
      <c r="N840" s="28">
        <v>48300</v>
      </c>
      <c r="O840" s="28">
        <v>0.04</v>
      </c>
      <c r="P840" s="28">
        <v>0.82</v>
      </c>
      <c r="Q840" s="28">
        <v>8.1999999999999993</v>
      </c>
      <c r="R840" s="26"/>
      <c r="S840" s="26"/>
      <c r="T840" s="26"/>
      <c r="U840" s="26"/>
    </row>
    <row r="841" spans="1:21" x14ac:dyDescent="0.3">
      <c r="A841" s="26"/>
      <c r="B841" s="29">
        <v>45411</v>
      </c>
      <c r="C841" s="28" t="s">
        <v>13</v>
      </c>
      <c r="D841" s="28" t="s">
        <v>72</v>
      </c>
      <c r="E841" s="28" t="s">
        <v>47</v>
      </c>
      <c r="F841" s="28" t="s">
        <v>42</v>
      </c>
      <c r="G841" s="28" t="s">
        <v>30</v>
      </c>
      <c r="H841" s="28" t="s">
        <v>86</v>
      </c>
      <c r="I841" s="28">
        <v>7000</v>
      </c>
      <c r="J841" s="28">
        <v>73000</v>
      </c>
      <c r="K841" s="28">
        <v>2190</v>
      </c>
      <c r="L841" s="28">
        <v>110</v>
      </c>
      <c r="M841" s="28">
        <v>0.05</v>
      </c>
      <c r="N841" s="28">
        <v>27375</v>
      </c>
      <c r="O841" s="28">
        <v>0.03</v>
      </c>
      <c r="P841" s="28">
        <v>3.2</v>
      </c>
      <c r="Q841" s="28">
        <v>2.91</v>
      </c>
      <c r="R841" s="26"/>
      <c r="S841" s="26"/>
      <c r="T841" s="26"/>
      <c r="U841" s="26"/>
    </row>
    <row r="842" spans="1:21" x14ac:dyDescent="0.3">
      <c r="A842" s="26"/>
      <c r="B842" s="29">
        <v>45418</v>
      </c>
      <c r="C842" s="28" t="s">
        <v>12</v>
      </c>
      <c r="D842" s="28" t="s">
        <v>83</v>
      </c>
      <c r="E842" s="28" t="s">
        <v>49</v>
      </c>
      <c r="F842" s="28" t="s">
        <v>39</v>
      </c>
      <c r="G842" s="28" t="s">
        <v>31</v>
      </c>
      <c r="H842" s="28" t="s">
        <v>86</v>
      </c>
      <c r="I842" s="28">
        <v>5350</v>
      </c>
      <c r="J842" s="28">
        <v>161000</v>
      </c>
      <c r="K842" s="28">
        <v>8050</v>
      </c>
      <c r="L842" s="28">
        <v>402</v>
      </c>
      <c r="M842" s="28">
        <v>0.05</v>
      </c>
      <c r="N842" s="28">
        <v>60375</v>
      </c>
      <c r="O842" s="28">
        <v>0.05</v>
      </c>
      <c r="P842" s="28">
        <v>0.66</v>
      </c>
      <c r="Q842" s="28">
        <v>10.28</v>
      </c>
      <c r="R842" s="26"/>
      <c r="S842" s="26"/>
      <c r="T842" s="26"/>
      <c r="U842" s="26"/>
    </row>
    <row r="843" spans="1:21" x14ac:dyDescent="0.3">
      <c r="A843" s="26"/>
      <c r="B843" s="29">
        <v>45425</v>
      </c>
      <c r="C843" s="28" t="s">
        <v>12</v>
      </c>
      <c r="D843" s="28" t="s">
        <v>82</v>
      </c>
      <c r="E843" s="28" t="s">
        <v>47</v>
      </c>
      <c r="F843" s="28" t="s">
        <v>36</v>
      </c>
      <c r="G843" s="28" t="s">
        <v>33</v>
      </c>
      <c r="H843" s="28" t="s">
        <v>86</v>
      </c>
      <c r="I843" s="28">
        <v>4850</v>
      </c>
      <c r="J843" s="28">
        <v>147000</v>
      </c>
      <c r="K843" s="28">
        <v>5880</v>
      </c>
      <c r="L843" s="28">
        <v>294</v>
      </c>
      <c r="M843" s="28">
        <v>0.05</v>
      </c>
      <c r="N843" s="28">
        <v>44100</v>
      </c>
      <c r="O843" s="28">
        <v>0.04</v>
      </c>
      <c r="P843" s="28">
        <v>0.82</v>
      </c>
      <c r="Q843" s="28">
        <v>8.09</v>
      </c>
      <c r="R843" s="26"/>
      <c r="S843" s="26"/>
      <c r="T843" s="26"/>
      <c r="U843" s="26"/>
    </row>
    <row r="844" spans="1:21" x14ac:dyDescent="0.3">
      <c r="A844" s="26"/>
      <c r="B844" s="29">
        <v>45432</v>
      </c>
      <c r="C844" s="28" t="s">
        <v>13</v>
      </c>
      <c r="D844" s="28" t="s">
        <v>70</v>
      </c>
      <c r="E844" s="28" t="s">
        <v>49</v>
      </c>
      <c r="F844" s="28" t="s">
        <v>45</v>
      </c>
      <c r="G844" s="28" t="s">
        <v>31</v>
      </c>
      <c r="H844" s="28" t="s">
        <v>86</v>
      </c>
      <c r="I844" s="28">
        <v>5450</v>
      </c>
      <c r="J844" s="28">
        <v>164000</v>
      </c>
      <c r="K844" s="28">
        <v>8200</v>
      </c>
      <c r="L844" s="28">
        <v>410</v>
      </c>
      <c r="M844" s="28">
        <v>0.05</v>
      </c>
      <c r="N844" s="28">
        <v>61500</v>
      </c>
      <c r="O844" s="28">
        <v>0.05</v>
      </c>
      <c r="P844" s="28">
        <v>0.66</v>
      </c>
      <c r="Q844" s="28">
        <v>10.28</v>
      </c>
      <c r="R844" s="26"/>
      <c r="S844" s="26"/>
      <c r="T844" s="26"/>
      <c r="U844" s="26"/>
    </row>
    <row r="845" spans="1:21" x14ac:dyDescent="0.3">
      <c r="A845" s="26"/>
      <c r="B845" s="29">
        <v>45439</v>
      </c>
      <c r="C845" s="28" t="s">
        <v>11</v>
      </c>
      <c r="D845" s="28" t="s">
        <v>68</v>
      </c>
      <c r="E845" s="28" t="s">
        <v>47</v>
      </c>
      <c r="F845" s="28" t="s">
        <v>42</v>
      </c>
      <c r="G845" s="28" t="s">
        <v>32</v>
      </c>
      <c r="H845" s="28" t="s">
        <v>86</v>
      </c>
      <c r="I845" s="28">
        <v>5350</v>
      </c>
      <c r="J845" s="28">
        <v>164000</v>
      </c>
      <c r="K845" s="28">
        <v>6560</v>
      </c>
      <c r="L845" s="28">
        <v>328</v>
      </c>
      <c r="M845" s="28">
        <v>0.05</v>
      </c>
      <c r="N845" s="28">
        <v>49200</v>
      </c>
      <c r="O845" s="28">
        <v>0.04</v>
      </c>
      <c r="P845" s="28">
        <v>0.82</v>
      </c>
      <c r="Q845" s="28">
        <v>8.1999999999999993</v>
      </c>
      <c r="R845" s="26"/>
      <c r="S845" s="26"/>
      <c r="T845" s="26"/>
      <c r="U845" s="26"/>
    </row>
    <row r="846" spans="1:21" x14ac:dyDescent="0.3">
      <c r="A846" s="26"/>
      <c r="B846" s="29">
        <v>45446</v>
      </c>
      <c r="C846" s="28" t="s">
        <v>13</v>
      </c>
      <c r="D846" s="28" t="s">
        <v>68</v>
      </c>
      <c r="E846" s="28" t="s">
        <v>47</v>
      </c>
      <c r="F846" s="28" t="s">
        <v>40</v>
      </c>
      <c r="G846" s="28" t="s">
        <v>30</v>
      </c>
      <c r="H846" s="28" t="s">
        <v>86</v>
      </c>
      <c r="I846" s="28">
        <v>7100</v>
      </c>
      <c r="J846" s="28">
        <v>74000</v>
      </c>
      <c r="K846" s="28">
        <v>2220</v>
      </c>
      <c r="L846" s="28">
        <v>111</v>
      </c>
      <c r="M846" s="28">
        <v>0.05</v>
      </c>
      <c r="N846" s="28">
        <v>27750</v>
      </c>
      <c r="O846" s="28">
        <v>0.03</v>
      </c>
      <c r="P846" s="28">
        <v>3.2</v>
      </c>
      <c r="Q846" s="28">
        <v>2.91</v>
      </c>
      <c r="R846" s="26"/>
      <c r="S846" s="26"/>
      <c r="T846" s="26"/>
      <c r="U846" s="26"/>
    </row>
    <row r="847" spans="1:21" x14ac:dyDescent="0.3">
      <c r="A847" s="26"/>
      <c r="B847" s="29">
        <v>45453</v>
      </c>
      <c r="C847" s="28" t="s">
        <v>10</v>
      </c>
      <c r="D847" s="28" t="s">
        <v>70</v>
      </c>
      <c r="E847" s="28" t="s">
        <v>49</v>
      </c>
      <c r="F847" s="28" t="s">
        <v>44</v>
      </c>
      <c r="G847" s="28" t="s">
        <v>31</v>
      </c>
      <c r="H847" s="28" t="s">
        <v>86</v>
      </c>
      <c r="I847" s="28">
        <v>5550</v>
      </c>
      <c r="J847" s="28">
        <v>167000</v>
      </c>
      <c r="K847" s="28">
        <v>8350</v>
      </c>
      <c r="L847" s="28">
        <v>418</v>
      </c>
      <c r="M847" s="28">
        <v>0.05</v>
      </c>
      <c r="N847" s="28">
        <v>62625</v>
      </c>
      <c r="O847" s="28">
        <v>0.05</v>
      </c>
      <c r="P847" s="28">
        <v>0.66</v>
      </c>
      <c r="Q847" s="28">
        <v>10.28</v>
      </c>
      <c r="R847" s="26"/>
      <c r="S847" s="26"/>
      <c r="T847" s="26"/>
      <c r="U847" s="26"/>
    </row>
    <row r="848" spans="1:21" x14ac:dyDescent="0.3">
      <c r="A848" s="26"/>
      <c r="B848" s="29">
        <v>45460</v>
      </c>
      <c r="C848" s="28" t="s">
        <v>12</v>
      </c>
      <c r="D848" s="28" t="s">
        <v>82</v>
      </c>
      <c r="E848" s="28" t="s">
        <v>47</v>
      </c>
      <c r="F848" s="28" t="s">
        <v>43</v>
      </c>
      <c r="G848" s="28" t="s">
        <v>33</v>
      </c>
      <c r="H848" s="28" t="s">
        <v>86</v>
      </c>
      <c r="I848" s="28">
        <v>4950</v>
      </c>
      <c r="J848" s="28">
        <v>150000</v>
      </c>
      <c r="K848" s="28">
        <v>6000</v>
      </c>
      <c r="L848" s="28">
        <v>300</v>
      </c>
      <c r="M848" s="28">
        <v>0.05</v>
      </c>
      <c r="N848" s="28">
        <v>45000</v>
      </c>
      <c r="O848" s="28">
        <v>0.04</v>
      </c>
      <c r="P848" s="28">
        <v>0.82</v>
      </c>
      <c r="Q848" s="28">
        <v>8.09</v>
      </c>
      <c r="R848" s="26"/>
      <c r="S848" s="26"/>
      <c r="T848" s="26"/>
      <c r="U848" s="26"/>
    </row>
    <row r="849" spans="1:21" x14ac:dyDescent="0.3">
      <c r="A849" s="26"/>
      <c r="B849" s="29">
        <v>45467</v>
      </c>
      <c r="C849" s="28" t="s">
        <v>11</v>
      </c>
      <c r="D849" s="28" t="s">
        <v>78</v>
      </c>
      <c r="E849" s="28" t="s">
        <v>48</v>
      </c>
      <c r="F849" s="28" t="s">
        <v>39</v>
      </c>
      <c r="G849" s="28" t="s">
        <v>31</v>
      </c>
      <c r="H849" s="28" t="s">
        <v>86</v>
      </c>
      <c r="I849" s="28">
        <v>5650</v>
      </c>
      <c r="J849" s="28">
        <v>170000</v>
      </c>
      <c r="K849" s="28">
        <v>8500</v>
      </c>
      <c r="L849" s="28">
        <v>425</v>
      </c>
      <c r="M849" s="28">
        <v>0.05</v>
      </c>
      <c r="N849" s="28">
        <v>63750</v>
      </c>
      <c r="O849" s="28">
        <v>0.05</v>
      </c>
      <c r="P849" s="28">
        <v>0.66</v>
      </c>
      <c r="Q849" s="28">
        <v>10.28</v>
      </c>
      <c r="R849" s="26"/>
      <c r="S849" s="26"/>
      <c r="T849" s="26"/>
      <c r="U849" s="26"/>
    </row>
    <row r="850" spans="1:21" x14ac:dyDescent="0.3">
      <c r="A850" s="26"/>
      <c r="B850" s="29">
        <v>45474</v>
      </c>
      <c r="C850" s="28" t="s">
        <v>12</v>
      </c>
      <c r="D850" s="28" t="s">
        <v>81</v>
      </c>
      <c r="E850" s="28" t="s">
        <v>48</v>
      </c>
      <c r="F850" s="28" t="s">
        <v>35</v>
      </c>
      <c r="G850" s="28" t="s">
        <v>32</v>
      </c>
      <c r="H850" s="28" t="s">
        <v>87</v>
      </c>
      <c r="I850" s="28">
        <v>5450</v>
      </c>
      <c r="J850" s="28">
        <v>167000</v>
      </c>
      <c r="K850" s="28">
        <v>6680</v>
      </c>
      <c r="L850" s="28">
        <v>334</v>
      </c>
      <c r="M850" s="28">
        <v>0.05</v>
      </c>
      <c r="N850" s="28">
        <v>50100</v>
      </c>
      <c r="O850" s="28">
        <v>0.04</v>
      </c>
      <c r="P850" s="28">
        <v>0.82</v>
      </c>
      <c r="Q850" s="28">
        <v>8.19</v>
      </c>
      <c r="R850" s="26"/>
      <c r="S850" s="26"/>
      <c r="T850" s="26"/>
      <c r="U850" s="26"/>
    </row>
    <row r="851" spans="1:21" x14ac:dyDescent="0.3">
      <c r="A851" s="26"/>
      <c r="B851" s="29">
        <v>45481</v>
      </c>
      <c r="C851" s="28" t="s">
        <v>13</v>
      </c>
      <c r="D851" s="28" t="s">
        <v>75</v>
      </c>
      <c r="E851" s="28" t="s">
        <v>47</v>
      </c>
      <c r="F851" s="28" t="s">
        <v>45</v>
      </c>
      <c r="G851" s="28" t="s">
        <v>30</v>
      </c>
      <c r="H851" s="28" t="s">
        <v>87</v>
      </c>
      <c r="I851" s="28">
        <v>7200</v>
      </c>
      <c r="J851" s="28">
        <v>75000</v>
      </c>
      <c r="K851" s="28">
        <v>2250</v>
      </c>
      <c r="L851" s="28">
        <v>112</v>
      </c>
      <c r="M851" s="28">
        <v>0.05</v>
      </c>
      <c r="N851" s="28">
        <v>28125</v>
      </c>
      <c r="O851" s="28">
        <v>0.03</v>
      </c>
      <c r="P851" s="28">
        <v>3.2</v>
      </c>
      <c r="Q851" s="28">
        <v>2.91</v>
      </c>
      <c r="R851" s="26"/>
      <c r="S851" s="26"/>
      <c r="T851" s="26"/>
      <c r="U851" s="26"/>
    </row>
    <row r="852" spans="1:21" x14ac:dyDescent="0.3">
      <c r="A852" s="26"/>
      <c r="B852" s="29">
        <v>45488</v>
      </c>
      <c r="C852" s="28" t="s">
        <v>10</v>
      </c>
      <c r="D852" s="28" t="s">
        <v>81</v>
      </c>
      <c r="E852" s="28" t="s">
        <v>48</v>
      </c>
      <c r="F852" s="28" t="s">
        <v>41</v>
      </c>
      <c r="G852" s="28" t="s">
        <v>31</v>
      </c>
      <c r="H852" s="28" t="s">
        <v>87</v>
      </c>
      <c r="I852" s="28">
        <v>5750</v>
      </c>
      <c r="J852" s="28">
        <v>173000</v>
      </c>
      <c r="K852" s="28">
        <v>8650</v>
      </c>
      <c r="L852" s="28">
        <v>432</v>
      </c>
      <c r="M852" s="28">
        <v>0.05</v>
      </c>
      <c r="N852" s="28">
        <v>64875</v>
      </c>
      <c r="O852" s="28">
        <v>0.05</v>
      </c>
      <c r="P852" s="28">
        <v>0.66</v>
      </c>
      <c r="Q852" s="28">
        <v>10.28</v>
      </c>
      <c r="R852" s="26"/>
      <c r="S852" s="26"/>
      <c r="T852" s="26"/>
      <c r="U852" s="26"/>
    </row>
    <row r="853" spans="1:21" x14ac:dyDescent="0.3">
      <c r="A853" s="26"/>
      <c r="B853" s="29">
        <v>45495</v>
      </c>
      <c r="C853" s="28" t="s">
        <v>11</v>
      </c>
      <c r="D853" s="28" t="s">
        <v>80</v>
      </c>
      <c r="E853" s="28" t="s">
        <v>48</v>
      </c>
      <c r="F853" s="28" t="s">
        <v>45</v>
      </c>
      <c r="G853" s="28" t="s">
        <v>33</v>
      </c>
      <c r="H853" s="28" t="s">
        <v>87</v>
      </c>
      <c r="I853" s="28">
        <v>5050</v>
      </c>
      <c r="J853" s="28">
        <v>153000</v>
      </c>
      <c r="K853" s="28">
        <v>6120</v>
      </c>
      <c r="L853" s="28">
        <v>306</v>
      </c>
      <c r="M853" s="28">
        <v>0.05</v>
      </c>
      <c r="N853" s="28">
        <v>45900</v>
      </c>
      <c r="O853" s="28">
        <v>0.04</v>
      </c>
      <c r="P853" s="28">
        <v>0.82</v>
      </c>
      <c r="Q853" s="28">
        <v>8.09</v>
      </c>
      <c r="R853" s="26"/>
      <c r="S853" s="26"/>
      <c r="T853" s="26"/>
      <c r="U853" s="26"/>
    </row>
    <row r="854" spans="1:21" x14ac:dyDescent="0.3">
      <c r="A854" s="26"/>
      <c r="B854" s="29">
        <v>45502</v>
      </c>
      <c r="C854" s="28" t="s">
        <v>12</v>
      </c>
      <c r="D854" s="28" t="s">
        <v>66</v>
      </c>
      <c r="E854" s="28" t="s">
        <v>48</v>
      </c>
      <c r="F854" s="28" t="s">
        <v>40</v>
      </c>
      <c r="G854" s="28" t="s">
        <v>31</v>
      </c>
      <c r="H854" s="28" t="s">
        <v>87</v>
      </c>
      <c r="I854" s="28">
        <v>5850</v>
      </c>
      <c r="J854" s="28">
        <v>176000</v>
      </c>
      <c r="K854" s="28">
        <v>8800</v>
      </c>
      <c r="L854" s="28">
        <v>440</v>
      </c>
      <c r="M854" s="28">
        <v>0.05</v>
      </c>
      <c r="N854" s="28">
        <v>66000</v>
      </c>
      <c r="O854" s="28">
        <v>0.05</v>
      </c>
      <c r="P854" s="28">
        <v>0.66</v>
      </c>
      <c r="Q854" s="28">
        <v>10.28</v>
      </c>
      <c r="R854" s="26"/>
      <c r="S854" s="26"/>
      <c r="T854" s="26"/>
      <c r="U854" s="26"/>
    </row>
    <row r="855" spans="1:21" x14ac:dyDescent="0.3">
      <c r="A855" s="26"/>
      <c r="B855" s="29">
        <v>45509</v>
      </c>
      <c r="C855" s="28" t="s">
        <v>13</v>
      </c>
      <c r="D855" s="28" t="s">
        <v>69</v>
      </c>
      <c r="E855" s="28" t="s">
        <v>47</v>
      </c>
      <c r="F855" s="28" t="s">
        <v>45</v>
      </c>
      <c r="G855" s="28" t="s">
        <v>32</v>
      </c>
      <c r="H855" s="28" t="s">
        <v>87</v>
      </c>
      <c r="I855" s="28">
        <v>5550</v>
      </c>
      <c r="J855" s="28">
        <v>170000</v>
      </c>
      <c r="K855" s="28">
        <v>6800</v>
      </c>
      <c r="L855" s="28">
        <v>340</v>
      </c>
      <c r="M855" s="28">
        <v>0.05</v>
      </c>
      <c r="N855" s="28">
        <v>51000</v>
      </c>
      <c r="O855" s="28">
        <v>0.04</v>
      </c>
      <c r="P855" s="28">
        <v>0.82</v>
      </c>
      <c r="Q855" s="28">
        <v>8.19</v>
      </c>
      <c r="R855" s="26"/>
      <c r="S855" s="26"/>
      <c r="T855" s="26"/>
      <c r="U855" s="26"/>
    </row>
    <row r="856" spans="1:21" x14ac:dyDescent="0.3">
      <c r="A856" s="26"/>
      <c r="B856" s="29">
        <v>45516</v>
      </c>
      <c r="C856" s="28" t="s">
        <v>13</v>
      </c>
      <c r="D856" s="28" t="s">
        <v>68</v>
      </c>
      <c r="E856" s="28" t="s">
        <v>47</v>
      </c>
      <c r="F856" s="28" t="s">
        <v>45</v>
      </c>
      <c r="G856" s="28" t="s">
        <v>30</v>
      </c>
      <c r="H856" s="28" t="s">
        <v>87</v>
      </c>
      <c r="I856" s="28">
        <v>7300</v>
      </c>
      <c r="J856" s="28">
        <v>76000</v>
      </c>
      <c r="K856" s="28">
        <v>2280</v>
      </c>
      <c r="L856" s="28">
        <v>114</v>
      </c>
      <c r="M856" s="28">
        <v>0.05</v>
      </c>
      <c r="N856" s="28">
        <v>28500</v>
      </c>
      <c r="O856" s="28">
        <v>0.03</v>
      </c>
      <c r="P856" s="28">
        <v>3.2</v>
      </c>
      <c r="Q856" s="28">
        <v>2.9</v>
      </c>
      <c r="R856" s="26"/>
      <c r="S856" s="26"/>
      <c r="T856" s="26"/>
      <c r="U856" s="26"/>
    </row>
    <row r="857" spans="1:21" x14ac:dyDescent="0.3">
      <c r="A857" s="26"/>
      <c r="B857" s="29">
        <v>45523</v>
      </c>
      <c r="C857" s="28" t="s">
        <v>13</v>
      </c>
      <c r="D857" s="28" t="s">
        <v>70</v>
      </c>
      <c r="E857" s="28" t="s">
        <v>49</v>
      </c>
      <c r="F857" s="28" t="s">
        <v>34</v>
      </c>
      <c r="G857" s="28" t="s">
        <v>31</v>
      </c>
      <c r="H857" s="28" t="s">
        <v>87</v>
      </c>
      <c r="I857" s="28">
        <v>5950</v>
      </c>
      <c r="J857" s="28">
        <v>179000</v>
      </c>
      <c r="K857" s="28">
        <v>8950</v>
      </c>
      <c r="L857" s="28">
        <v>448</v>
      </c>
      <c r="M857" s="28">
        <v>0.05</v>
      </c>
      <c r="N857" s="28">
        <v>67125</v>
      </c>
      <c r="O857" s="28">
        <v>0.05</v>
      </c>
      <c r="P857" s="28">
        <v>0.66</v>
      </c>
      <c r="Q857" s="28">
        <v>10.28</v>
      </c>
      <c r="R857" s="26"/>
      <c r="S857" s="26"/>
      <c r="T857" s="26"/>
      <c r="U857" s="26"/>
    </row>
    <row r="858" spans="1:21" x14ac:dyDescent="0.3">
      <c r="A858" s="26"/>
      <c r="B858" s="29">
        <v>45530</v>
      </c>
      <c r="C858" s="28" t="s">
        <v>13</v>
      </c>
      <c r="D858" s="28" t="s">
        <v>68</v>
      </c>
      <c r="E858" s="28" t="s">
        <v>47</v>
      </c>
      <c r="F858" s="28" t="s">
        <v>42</v>
      </c>
      <c r="G858" s="28" t="s">
        <v>33</v>
      </c>
      <c r="H858" s="28" t="s">
        <v>87</v>
      </c>
      <c r="I858" s="28">
        <v>5150</v>
      </c>
      <c r="J858" s="28">
        <v>156000</v>
      </c>
      <c r="K858" s="28">
        <v>6240</v>
      </c>
      <c r="L858" s="28">
        <v>312</v>
      </c>
      <c r="M858" s="28">
        <v>0.05</v>
      </c>
      <c r="N858" s="28">
        <v>46800</v>
      </c>
      <c r="O858" s="28">
        <v>0.04</v>
      </c>
      <c r="P858" s="28">
        <v>0.82</v>
      </c>
      <c r="Q858" s="28">
        <v>8.09</v>
      </c>
      <c r="R858" s="26"/>
      <c r="S858" s="26"/>
      <c r="T858" s="26"/>
      <c r="U858" s="26"/>
    </row>
    <row r="859" spans="1:21" x14ac:dyDescent="0.3">
      <c r="A859" s="26"/>
      <c r="B859" s="29">
        <v>45537</v>
      </c>
      <c r="C859" s="28" t="s">
        <v>11</v>
      </c>
      <c r="D859" s="28" t="s">
        <v>84</v>
      </c>
      <c r="E859" s="28" t="s">
        <v>48</v>
      </c>
      <c r="F859" s="28" t="s">
        <v>39</v>
      </c>
      <c r="G859" s="28" t="s">
        <v>31</v>
      </c>
      <c r="H859" s="28" t="s">
        <v>87</v>
      </c>
      <c r="I859" s="28">
        <v>6050</v>
      </c>
      <c r="J859" s="28">
        <v>182000</v>
      </c>
      <c r="K859" s="28">
        <v>9100</v>
      </c>
      <c r="L859" s="28">
        <v>455</v>
      </c>
      <c r="M859" s="28">
        <v>0.05</v>
      </c>
      <c r="N859" s="28">
        <v>68250</v>
      </c>
      <c r="O859" s="28">
        <v>0.05</v>
      </c>
      <c r="P859" s="28">
        <v>0.66</v>
      </c>
      <c r="Q859" s="28">
        <v>10.28</v>
      </c>
      <c r="R859" s="26"/>
      <c r="S859" s="26"/>
      <c r="T859" s="26"/>
      <c r="U859" s="26"/>
    </row>
    <row r="860" spans="1:21" x14ac:dyDescent="0.3">
      <c r="A860" s="26"/>
      <c r="B860" s="29">
        <v>45544</v>
      </c>
      <c r="C860" s="28" t="s">
        <v>12</v>
      </c>
      <c r="D860" s="28" t="s">
        <v>81</v>
      </c>
      <c r="E860" s="28" t="s">
        <v>48</v>
      </c>
      <c r="F860" s="28" t="s">
        <v>45</v>
      </c>
      <c r="G860" s="28" t="s">
        <v>32</v>
      </c>
      <c r="H860" s="28" t="s">
        <v>88</v>
      </c>
      <c r="I860" s="28">
        <v>5650</v>
      </c>
      <c r="J860" s="28">
        <v>173000</v>
      </c>
      <c r="K860" s="28">
        <v>6920</v>
      </c>
      <c r="L860" s="28">
        <v>346</v>
      </c>
      <c r="M860" s="28">
        <v>0.05</v>
      </c>
      <c r="N860" s="28">
        <v>51900</v>
      </c>
      <c r="O860" s="28">
        <v>0.04</v>
      </c>
      <c r="P860" s="28">
        <v>0.82</v>
      </c>
      <c r="Q860" s="28">
        <v>8.19</v>
      </c>
      <c r="R860" s="26"/>
      <c r="S860" s="26"/>
      <c r="T860" s="26"/>
      <c r="U860" s="26"/>
    </row>
    <row r="861" spans="1:21" x14ac:dyDescent="0.3">
      <c r="A861" s="26"/>
      <c r="B861" s="29">
        <v>45551</v>
      </c>
      <c r="C861" s="28" t="s">
        <v>12</v>
      </c>
      <c r="D861" s="28" t="s">
        <v>76</v>
      </c>
      <c r="E861" s="28" t="s">
        <v>49</v>
      </c>
      <c r="F861" s="28" t="s">
        <v>34</v>
      </c>
      <c r="G861" s="28" t="s">
        <v>30</v>
      </c>
      <c r="H861" s="28" t="s">
        <v>88</v>
      </c>
      <c r="I861" s="28">
        <v>7400</v>
      </c>
      <c r="J861" s="28">
        <v>77000</v>
      </c>
      <c r="K861" s="28">
        <v>2310</v>
      </c>
      <c r="L861" s="28">
        <v>116</v>
      </c>
      <c r="M861" s="28">
        <v>0.05</v>
      </c>
      <c r="N861" s="28">
        <v>28875</v>
      </c>
      <c r="O861" s="28">
        <v>0.03</v>
      </c>
      <c r="P861" s="28">
        <v>3.2</v>
      </c>
      <c r="Q861" s="28">
        <v>2.9</v>
      </c>
      <c r="R861" s="26"/>
      <c r="S861" s="26"/>
      <c r="T861" s="26"/>
      <c r="U861" s="26"/>
    </row>
    <row r="862" spans="1:21" x14ac:dyDescent="0.3">
      <c r="A862" s="26"/>
      <c r="B862" s="29">
        <v>45558</v>
      </c>
      <c r="C862" s="28" t="s">
        <v>13</v>
      </c>
      <c r="D862" s="28" t="s">
        <v>69</v>
      </c>
      <c r="E862" s="28" t="s">
        <v>47</v>
      </c>
      <c r="F862" s="28" t="s">
        <v>42</v>
      </c>
      <c r="G862" s="28" t="s">
        <v>31</v>
      </c>
      <c r="H862" s="28" t="s">
        <v>88</v>
      </c>
      <c r="I862" s="28">
        <v>6150</v>
      </c>
      <c r="J862" s="28">
        <v>185000</v>
      </c>
      <c r="K862" s="28">
        <v>9250</v>
      </c>
      <c r="L862" s="28">
        <v>462</v>
      </c>
      <c r="M862" s="28">
        <v>0.05</v>
      </c>
      <c r="N862" s="28">
        <v>69375</v>
      </c>
      <c r="O862" s="28">
        <v>0.05</v>
      </c>
      <c r="P862" s="28">
        <v>0.66</v>
      </c>
      <c r="Q862" s="28">
        <v>10.28</v>
      </c>
      <c r="R862" s="26"/>
      <c r="S862" s="26"/>
      <c r="T862" s="26"/>
      <c r="U862" s="26"/>
    </row>
    <row r="863" spans="1:21" x14ac:dyDescent="0.3">
      <c r="A863" s="26"/>
      <c r="B863" s="29">
        <v>45565</v>
      </c>
      <c r="C863" s="28" t="s">
        <v>12</v>
      </c>
      <c r="D863" s="28" t="s">
        <v>68</v>
      </c>
      <c r="E863" s="28" t="s">
        <v>47</v>
      </c>
      <c r="F863" s="28" t="s">
        <v>40</v>
      </c>
      <c r="G863" s="28" t="s">
        <v>33</v>
      </c>
      <c r="H863" s="28" t="s">
        <v>88</v>
      </c>
      <c r="I863" s="28">
        <v>5250</v>
      </c>
      <c r="J863" s="28">
        <v>159000</v>
      </c>
      <c r="K863" s="28">
        <v>6360</v>
      </c>
      <c r="L863" s="28">
        <v>318</v>
      </c>
      <c r="M863" s="28">
        <v>0.05</v>
      </c>
      <c r="N863" s="28">
        <v>47700</v>
      </c>
      <c r="O863" s="28">
        <v>0.04</v>
      </c>
      <c r="P863" s="28">
        <v>0.82</v>
      </c>
      <c r="Q863" s="28">
        <v>8.09</v>
      </c>
      <c r="R863" s="26"/>
      <c r="S863" s="26"/>
      <c r="T863" s="26"/>
      <c r="U863" s="26"/>
    </row>
    <row r="864" spans="1:21" x14ac:dyDescent="0.3">
      <c r="A864" s="26"/>
      <c r="B864" s="29">
        <v>45572</v>
      </c>
      <c r="C864" s="28" t="s">
        <v>11</v>
      </c>
      <c r="D864" s="28" t="s">
        <v>69</v>
      </c>
      <c r="E864" s="28" t="s">
        <v>47</v>
      </c>
      <c r="F864" s="28" t="s">
        <v>41</v>
      </c>
      <c r="G864" s="28" t="s">
        <v>31</v>
      </c>
      <c r="H864" s="28" t="s">
        <v>88</v>
      </c>
      <c r="I864" s="28">
        <v>6250</v>
      </c>
      <c r="J864" s="28">
        <v>188000</v>
      </c>
      <c r="K864" s="28">
        <v>9400</v>
      </c>
      <c r="L864" s="28">
        <v>470</v>
      </c>
      <c r="M864" s="28">
        <v>0.05</v>
      </c>
      <c r="N864" s="28">
        <v>70500</v>
      </c>
      <c r="O864" s="28">
        <v>0.05</v>
      </c>
      <c r="P864" s="28">
        <v>0.66</v>
      </c>
      <c r="Q864" s="28">
        <v>10.28</v>
      </c>
      <c r="R864" s="26"/>
      <c r="S864" s="26"/>
      <c r="T864" s="26"/>
      <c r="U864" s="26"/>
    </row>
    <row r="865" spans="1:21" x14ac:dyDescent="0.3">
      <c r="A865" s="26"/>
      <c r="B865" s="29">
        <v>45579</v>
      </c>
      <c r="C865" s="28" t="s">
        <v>10</v>
      </c>
      <c r="D865" s="28" t="s">
        <v>69</v>
      </c>
      <c r="E865" s="28" t="s">
        <v>47</v>
      </c>
      <c r="F865" s="28" t="s">
        <v>44</v>
      </c>
      <c r="G865" s="28" t="s">
        <v>32</v>
      </c>
      <c r="H865" s="28" t="s">
        <v>88</v>
      </c>
      <c r="I865" s="28">
        <v>5750</v>
      </c>
      <c r="J865" s="28">
        <v>176000</v>
      </c>
      <c r="K865" s="28">
        <v>7040</v>
      </c>
      <c r="L865" s="28">
        <v>352</v>
      </c>
      <c r="M865" s="28">
        <v>0.05</v>
      </c>
      <c r="N865" s="28">
        <v>52800</v>
      </c>
      <c r="O865" s="28">
        <v>0.04</v>
      </c>
      <c r="P865" s="28">
        <v>0.82</v>
      </c>
      <c r="Q865" s="28">
        <v>8.18</v>
      </c>
      <c r="R865" s="26"/>
      <c r="S865" s="26"/>
      <c r="T865" s="26"/>
      <c r="U865" s="26"/>
    </row>
    <row r="866" spans="1:21" x14ac:dyDescent="0.3">
      <c r="A866" s="26"/>
      <c r="B866" s="29">
        <v>45586</v>
      </c>
      <c r="C866" s="28" t="s">
        <v>10</v>
      </c>
      <c r="D866" s="28" t="s">
        <v>76</v>
      </c>
      <c r="E866" s="28" t="s">
        <v>49</v>
      </c>
      <c r="F866" s="28" t="s">
        <v>45</v>
      </c>
      <c r="G866" s="28" t="s">
        <v>30</v>
      </c>
      <c r="H866" s="28" t="s">
        <v>88</v>
      </c>
      <c r="I866" s="28">
        <v>7500</v>
      </c>
      <c r="J866" s="28">
        <v>78000</v>
      </c>
      <c r="K866" s="28">
        <v>2340</v>
      </c>
      <c r="L866" s="28">
        <v>117</v>
      </c>
      <c r="M866" s="28">
        <v>0.05</v>
      </c>
      <c r="N866" s="28">
        <v>29250</v>
      </c>
      <c r="O866" s="28">
        <v>0.03</v>
      </c>
      <c r="P866" s="28">
        <v>3.21</v>
      </c>
      <c r="Q866" s="28">
        <v>2.9</v>
      </c>
      <c r="R866" s="26"/>
      <c r="S866" s="26"/>
      <c r="T866" s="26"/>
      <c r="U866" s="26"/>
    </row>
    <row r="867" spans="1:21" x14ac:dyDescent="0.3">
      <c r="A867" s="26"/>
      <c r="B867" s="29">
        <v>45593</v>
      </c>
      <c r="C867" s="28" t="s">
        <v>11</v>
      </c>
      <c r="D867" s="28" t="s">
        <v>68</v>
      </c>
      <c r="E867" s="28" t="s">
        <v>47</v>
      </c>
      <c r="F867" s="28" t="s">
        <v>45</v>
      </c>
      <c r="G867" s="28" t="s">
        <v>31</v>
      </c>
      <c r="H867" s="28" t="s">
        <v>88</v>
      </c>
      <c r="I867" s="28">
        <v>6350</v>
      </c>
      <c r="J867" s="28">
        <v>191000</v>
      </c>
      <c r="K867" s="28">
        <v>9550</v>
      </c>
      <c r="L867" s="28">
        <v>478</v>
      </c>
      <c r="M867" s="28">
        <v>0.05</v>
      </c>
      <c r="N867" s="28">
        <v>71625</v>
      </c>
      <c r="O867" s="28">
        <v>0.05</v>
      </c>
      <c r="P867" s="28">
        <v>0.66</v>
      </c>
      <c r="Q867" s="28">
        <v>10.28</v>
      </c>
      <c r="R867" s="26"/>
      <c r="S867" s="26"/>
      <c r="T867" s="26"/>
      <c r="U867" s="26"/>
    </row>
    <row r="868" spans="1:21" x14ac:dyDescent="0.3">
      <c r="A868" s="26"/>
      <c r="B868" s="29">
        <v>45600</v>
      </c>
      <c r="C868" s="28" t="s">
        <v>13</v>
      </c>
      <c r="D868" s="28" t="s">
        <v>69</v>
      </c>
      <c r="E868" s="28" t="s">
        <v>47</v>
      </c>
      <c r="F868" s="28" t="s">
        <v>39</v>
      </c>
      <c r="G868" s="28" t="s">
        <v>33</v>
      </c>
      <c r="H868" s="28" t="s">
        <v>88</v>
      </c>
      <c r="I868" s="28">
        <v>5350</v>
      </c>
      <c r="J868" s="28">
        <v>162000</v>
      </c>
      <c r="K868" s="28">
        <v>6480</v>
      </c>
      <c r="L868" s="28">
        <v>324</v>
      </c>
      <c r="M868" s="28">
        <v>0.05</v>
      </c>
      <c r="N868" s="28">
        <v>48600</v>
      </c>
      <c r="O868" s="28">
        <v>0.04</v>
      </c>
      <c r="P868" s="28">
        <v>0.82</v>
      </c>
      <c r="Q868" s="28">
        <v>8.09</v>
      </c>
      <c r="R868" s="26"/>
      <c r="S868" s="26"/>
      <c r="T868" s="26"/>
      <c r="U868" s="26"/>
    </row>
    <row r="869" spans="1:21" x14ac:dyDescent="0.3">
      <c r="A869" s="26"/>
      <c r="B869" s="29">
        <v>45607</v>
      </c>
      <c r="C869" s="28" t="s">
        <v>12</v>
      </c>
      <c r="D869" s="28" t="s">
        <v>84</v>
      </c>
      <c r="E869" s="28" t="s">
        <v>48</v>
      </c>
      <c r="F869" s="28" t="s">
        <v>40</v>
      </c>
      <c r="G869" s="28" t="s">
        <v>31</v>
      </c>
      <c r="H869" s="28" t="s">
        <v>88</v>
      </c>
      <c r="I869" s="28">
        <v>6450</v>
      </c>
      <c r="J869" s="28">
        <v>194000</v>
      </c>
      <c r="K869" s="28">
        <v>9700</v>
      </c>
      <c r="L869" s="28">
        <v>485</v>
      </c>
      <c r="M869" s="28">
        <v>0.05</v>
      </c>
      <c r="N869" s="28">
        <v>72750</v>
      </c>
      <c r="O869" s="28">
        <v>0.05</v>
      </c>
      <c r="P869" s="28">
        <v>0.66</v>
      </c>
      <c r="Q869" s="28">
        <v>10.28</v>
      </c>
      <c r="R869" s="26"/>
      <c r="S869" s="26"/>
      <c r="T869" s="26"/>
      <c r="U869" s="26"/>
    </row>
    <row r="870" spans="1:21" x14ac:dyDescent="0.3">
      <c r="A870" s="26"/>
      <c r="B870" s="29">
        <v>45614</v>
      </c>
      <c r="C870" s="28" t="s">
        <v>13</v>
      </c>
      <c r="D870" s="28" t="s">
        <v>71</v>
      </c>
      <c r="E870" s="28" t="s">
        <v>48</v>
      </c>
      <c r="F870" s="28" t="s">
        <v>40</v>
      </c>
      <c r="G870" s="28" t="s">
        <v>32</v>
      </c>
      <c r="H870" s="28" t="s">
        <v>88</v>
      </c>
      <c r="I870" s="28">
        <v>5850</v>
      </c>
      <c r="J870" s="28">
        <v>179000</v>
      </c>
      <c r="K870" s="28">
        <v>7160</v>
      </c>
      <c r="L870" s="28">
        <v>358</v>
      </c>
      <c r="M870" s="28">
        <v>0.05</v>
      </c>
      <c r="N870" s="28">
        <v>53700</v>
      </c>
      <c r="O870" s="28">
        <v>0.04</v>
      </c>
      <c r="P870" s="28">
        <v>0.82</v>
      </c>
      <c r="Q870" s="28">
        <v>8.18</v>
      </c>
      <c r="R870" s="26"/>
      <c r="S870" s="26"/>
      <c r="T870" s="26"/>
      <c r="U870" s="26"/>
    </row>
    <row r="871" spans="1:21" x14ac:dyDescent="0.3">
      <c r="A871" s="26"/>
      <c r="B871" s="29">
        <v>45621</v>
      </c>
      <c r="C871" s="28" t="s">
        <v>11</v>
      </c>
      <c r="D871" s="28" t="s">
        <v>81</v>
      </c>
      <c r="E871" s="28" t="s">
        <v>48</v>
      </c>
      <c r="F871" s="28" t="s">
        <v>45</v>
      </c>
      <c r="G871" s="28" t="s">
        <v>30</v>
      </c>
      <c r="H871" s="28" t="s">
        <v>88</v>
      </c>
      <c r="I871" s="28">
        <v>7600</v>
      </c>
      <c r="J871" s="28">
        <v>79000</v>
      </c>
      <c r="K871" s="28">
        <v>2370</v>
      </c>
      <c r="L871" s="28">
        <v>118</v>
      </c>
      <c r="M871" s="28">
        <v>0.05</v>
      </c>
      <c r="N871" s="28">
        <v>29625</v>
      </c>
      <c r="O871" s="28">
        <v>0.03</v>
      </c>
      <c r="P871" s="28">
        <v>3.21</v>
      </c>
      <c r="Q871" s="28">
        <v>2.9</v>
      </c>
      <c r="R871" s="26"/>
      <c r="S871" s="26"/>
      <c r="T871" s="26"/>
      <c r="U871" s="26"/>
    </row>
    <row r="872" spans="1:21" x14ac:dyDescent="0.3">
      <c r="A872" s="26"/>
      <c r="B872" s="29">
        <v>45628</v>
      </c>
      <c r="C872" s="28" t="s">
        <v>10</v>
      </c>
      <c r="D872" s="28" t="s">
        <v>79</v>
      </c>
      <c r="E872" s="28" t="s">
        <v>47</v>
      </c>
      <c r="F872" s="28" t="s">
        <v>40</v>
      </c>
      <c r="G872" s="28" t="s">
        <v>31</v>
      </c>
      <c r="H872" s="28" t="s">
        <v>88</v>
      </c>
      <c r="I872" s="28">
        <v>6550</v>
      </c>
      <c r="J872" s="28">
        <v>197000</v>
      </c>
      <c r="K872" s="28">
        <v>9850</v>
      </c>
      <c r="L872" s="28">
        <v>492</v>
      </c>
      <c r="M872" s="28">
        <v>0.05</v>
      </c>
      <c r="N872" s="28">
        <v>73875</v>
      </c>
      <c r="O872" s="28">
        <v>0.05</v>
      </c>
      <c r="P872" s="28">
        <v>0.66</v>
      </c>
      <c r="Q872" s="28">
        <v>10.28</v>
      </c>
      <c r="R872" s="26"/>
      <c r="S872" s="26"/>
      <c r="T872" s="26"/>
      <c r="U872" s="26"/>
    </row>
    <row r="873" spans="1:21" x14ac:dyDescent="0.3">
      <c r="A873" s="26"/>
      <c r="B873" s="29">
        <v>45635</v>
      </c>
      <c r="C873" s="28" t="s">
        <v>12</v>
      </c>
      <c r="D873" s="28" t="s">
        <v>84</v>
      </c>
      <c r="E873" s="28" t="s">
        <v>48</v>
      </c>
      <c r="F873" s="28" t="s">
        <v>40</v>
      </c>
      <c r="G873" s="28" t="s">
        <v>33</v>
      </c>
      <c r="H873" s="28" t="s">
        <v>88</v>
      </c>
      <c r="I873" s="28">
        <v>5450</v>
      </c>
      <c r="J873" s="28">
        <v>165000</v>
      </c>
      <c r="K873" s="28">
        <v>6600</v>
      </c>
      <c r="L873" s="28">
        <v>330</v>
      </c>
      <c r="M873" s="28">
        <v>0.05</v>
      </c>
      <c r="N873" s="28">
        <v>49500</v>
      </c>
      <c r="O873" s="28">
        <v>0.04</v>
      </c>
      <c r="P873" s="28">
        <v>0.82</v>
      </c>
      <c r="Q873" s="28">
        <v>8.09</v>
      </c>
      <c r="R873" s="26"/>
      <c r="S873" s="26"/>
      <c r="T873" s="26"/>
      <c r="U873" s="26"/>
    </row>
    <row r="874" spans="1:21" x14ac:dyDescent="0.3">
      <c r="A874" s="26"/>
      <c r="B874" s="29">
        <v>45642</v>
      </c>
      <c r="C874" s="28" t="s">
        <v>12</v>
      </c>
      <c r="D874" s="28" t="s">
        <v>75</v>
      </c>
      <c r="E874" s="28" t="s">
        <v>47</v>
      </c>
      <c r="F874" s="28" t="s">
        <v>41</v>
      </c>
      <c r="G874" s="28" t="s">
        <v>31</v>
      </c>
      <c r="H874" s="28" t="s">
        <v>88</v>
      </c>
      <c r="I874" s="28">
        <v>6650</v>
      </c>
      <c r="J874" s="28">
        <v>200000</v>
      </c>
      <c r="K874" s="28">
        <v>10000</v>
      </c>
      <c r="L874" s="28">
        <v>500</v>
      </c>
      <c r="M874" s="28">
        <v>0.05</v>
      </c>
      <c r="N874" s="28">
        <v>75000</v>
      </c>
      <c r="O874" s="28">
        <v>0.05</v>
      </c>
      <c r="P874" s="28">
        <v>0.67</v>
      </c>
      <c r="Q874" s="28">
        <v>10.28</v>
      </c>
      <c r="R874" s="26"/>
      <c r="S874" s="26"/>
      <c r="T874" s="26"/>
      <c r="U874" s="26"/>
    </row>
    <row r="875" spans="1:21" x14ac:dyDescent="0.3">
      <c r="A875" s="26"/>
      <c r="B875" s="29">
        <v>45649</v>
      </c>
      <c r="C875" s="28" t="s">
        <v>11</v>
      </c>
      <c r="D875" s="28" t="s">
        <v>80</v>
      </c>
      <c r="E875" s="28" t="s">
        <v>48</v>
      </c>
      <c r="F875" s="28" t="s">
        <v>40</v>
      </c>
      <c r="G875" s="28" t="s">
        <v>32</v>
      </c>
      <c r="H875" s="28" t="s">
        <v>88</v>
      </c>
      <c r="I875" s="28">
        <v>5950</v>
      </c>
      <c r="J875" s="28">
        <v>182000</v>
      </c>
      <c r="K875" s="28">
        <v>7280</v>
      </c>
      <c r="L875" s="28">
        <v>364</v>
      </c>
      <c r="M875" s="28">
        <v>0.05</v>
      </c>
      <c r="N875" s="28">
        <v>54600</v>
      </c>
      <c r="O875" s="28">
        <v>0.04</v>
      </c>
      <c r="P875" s="28">
        <v>0.82</v>
      </c>
      <c r="Q875" s="28">
        <v>8.18</v>
      </c>
      <c r="R875" s="26"/>
      <c r="S875" s="26"/>
      <c r="T875" s="26"/>
      <c r="U875" s="26"/>
    </row>
    <row r="876" spans="1:21" x14ac:dyDescent="0.3">
      <c r="A876" s="26"/>
      <c r="B876" s="29">
        <v>45656</v>
      </c>
      <c r="C876" s="28" t="s">
        <v>11</v>
      </c>
      <c r="D876" s="28" t="s">
        <v>69</v>
      </c>
      <c r="E876" s="28" t="s">
        <v>47</v>
      </c>
      <c r="F876" s="28" t="s">
        <v>45</v>
      </c>
      <c r="G876" s="28" t="s">
        <v>30</v>
      </c>
      <c r="H876" s="28" t="s">
        <v>88</v>
      </c>
      <c r="I876" s="28">
        <v>7700</v>
      </c>
      <c r="J876" s="28">
        <v>80000</v>
      </c>
      <c r="K876" s="28">
        <v>2400</v>
      </c>
      <c r="L876" s="28">
        <v>120</v>
      </c>
      <c r="M876" s="28">
        <v>0.05</v>
      </c>
      <c r="N876" s="28">
        <v>30000</v>
      </c>
      <c r="O876" s="28">
        <v>0.03</v>
      </c>
      <c r="P876" s="28">
        <v>3.21</v>
      </c>
      <c r="Q876" s="28">
        <v>2.9</v>
      </c>
      <c r="R876" s="26"/>
      <c r="S876" s="26"/>
      <c r="T876" s="26"/>
      <c r="U876" s="26"/>
    </row>
    <row r="877" spans="1:21" x14ac:dyDescent="0.3">
      <c r="A877" s="26"/>
      <c r="B877" s="29">
        <v>45175</v>
      </c>
      <c r="C877" s="28" t="s">
        <v>13</v>
      </c>
      <c r="D877" s="28" t="s">
        <v>83</v>
      </c>
      <c r="E877" s="28" t="s">
        <v>49</v>
      </c>
      <c r="F877" s="28" t="s">
        <v>42</v>
      </c>
      <c r="G877" s="28" t="s">
        <v>31</v>
      </c>
      <c r="H877" s="28" t="s">
        <v>87</v>
      </c>
      <c r="I877" s="28">
        <v>2350</v>
      </c>
      <c r="J877" s="28">
        <v>75000</v>
      </c>
      <c r="K877" s="28">
        <v>3750</v>
      </c>
      <c r="L877" s="28">
        <v>188</v>
      </c>
      <c r="M877" s="28">
        <v>0.05</v>
      </c>
      <c r="N877" s="28">
        <v>28125</v>
      </c>
      <c r="O877" s="28">
        <v>0.05</v>
      </c>
      <c r="P877" s="28">
        <v>0.63</v>
      </c>
      <c r="Q877" s="28">
        <v>10.97</v>
      </c>
      <c r="R877" s="26"/>
      <c r="S877" s="26"/>
      <c r="T877" s="26"/>
      <c r="U877" s="26"/>
    </row>
    <row r="878" spans="1:21" x14ac:dyDescent="0.3">
      <c r="A878" s="26"/>
      <c r="B878" s="29">
        <v>45188</v>
      </c>
      <c r="C878" s="28" t="s">
        <v>11</v>
      </c>
      <c r="D878" s="28" t="s">
        <v>80</v>
      </c>
      <c r="E878" s="28" t="s">
        <v>48</v>
      </c>
      <c r="F878" s="28" t="s">
        <v>40</v>
      </c>
      <c r="G878" s="28" t="s">
        <v>32</v>
      </c>
      <c r="H878" s="28" t="s">
        <v>87</v>
      </c>
      <c r="I878" s="28">
        <v>3750</v>
      </c>
      <c r="J878" s="28">
        <v>117000</v>
      </c>
      <c r="K878" s="28">
        <v>4680</v>
      </c>
      <c r="L878" s="28">
        <v>234</v>
      </c>
      <c r="M878" s="28">
        <v>0.05</v>
      </c>
      <c r="N878" s="28">
        <v>35100</v>
      </c>
      <c r="O878" s="28">
        <v>0.04</v>
      </c>
      <c r="P878" s="28">
        <v>0.8</v>
      </c>
      <c r="Q878" s="28">
        <v>8.36</v>
      </c>
      <c r="R878" s="26"/>
      <c r="S878" s="26"/>
      <c r="T878" s="26"/>
      <c r="U878" s="26"/>
    </row>
    <row r="879" spans="1:21" x14ac:dyDescent="0.3">
      <c r="A879" s="26"/>
      <c r="B879" s="29">
        <v>45008</v>
      </c>
      <c r="C879" s="28" t="s">
        <v>12</v>
      </c>
      <c r="D879" s="28" t="s">
        <v>73</v>
      </c>
      <c r="E879" s="28" t="s">
        <v>47</v>
      </c>
      <c r="F879" s="28" t="s">
        <v>45</v>
      </c>
      <c r="G879" s="28" t="s">
        <v>32</v>
      </c>
      <c r="H879" s="28" t="s">
        <v>86</v>
      </c>
      <c r="I879" s="28">
        <v>3750</v>
      </c>
      <c r="J879" s="28">
        <v>118000</v>
      </c>
      <c r="K879" s="28">
        <v>4720</v>
      </c>
      <c r="L879" s="28">
        <v>236</v>
      </c>
      <c r="M879" s="28">
        <v>0.05</v>
      </c>
      <c r="N879" s="28">
        <v>35400</v>
      </c>
      <c r="O879" s="28">
        <v>0.04</v>
      </c>
      <c r="P879" s="28">
        <v>0.79</v>
      </c>
      <c r="Q879" s="28">
        <v>8.44</v>
      </c>
      <c r="R879" s="26"/>
      <c r="S879" s="26"/>
      <c r="T879" s="26"/>
      <c r="U879" s="26"/>
    </row>
    <row r="880" spans="1:21" x14ac:dyDescent="0.3">
      <c r="A880" s="26"/>
      <c r="B880" s="29">
        <v>45158</v>
      </c>
      <c r="C880" s="28" t="s">
        <v>12</v>
      </c>
      <c r="D880" s="28" t="s">
        <v>75</v>
      </c>
      <c r="E880" s="28" t="s">
        <v>47</v>
      </c>
      <c r="F880" s="28" t="s">
        <v>45</v>
      </c>
      <c r="G880" s="28" t="s">
        <v>33</v>
      </c>
      <c r="H880" s="28" t="s">
        <v>87</v>
      </c>
      <c r="I880" s="28">
        <v>3283.84</v>
      </c>
      <c r="J880" s="28">
        <v>5414</v>
      </c>
      <c r="K880" s="28">
        <v>643</v>
      </c>
      <c r="L880" s="28">
        <v>4</v>
      </c>
      <c r="M880" s="28">
        <v>0.01</v>
      </c>
      <c r="N880" s="28">
        <v>19911.599999999999</v>
      </c>
      <c r="O880" s="28">
        <v>0.1188</v>
      </c>
      <c r="P880" s="28">
        <v>5.1100000000000003</v>
      </c>
      <c r="Q880" s="28">
        <v>5.0635000000000003</v>
      </c>
      <c r="R880" s="26"/>
      <c r="S880" s="26"/>
      <c r="T880" s="26"/>
      <c r="U880" s="26"/>
    </row>
    <row r="881" spans="1:21" x14ac:dyDescent="0.3">
      <c r="A881" s="26"/>
      <c r="B881" s="29">
        <v>45047</v>
      </c>
      <c r="C881" s="28" t="s">
        <v>11</v>
      </c>
      <c r="D881" s="28" t="s">
        <v>65</v>
      </c>
      <c r="E881" s="28" t="s">
        <v>47</v>
      </c>
      <c r="F881" s="28" t="s">
        <v>35</v>
      </c>
      <c r="G881" s="28" t="s">
        <v>31</v>
      </c>
      <c r="H881" s="28" t="s">
        <v>86</v>
      </c>
      <c r="I881" s="28">
        <v>3250</v>
      </c>
      <c r="J881" s="28">
        <v>98000</v>
      </c>
      <c r="K881" s="28">
        <v>4900</v>
      </c>
      <c r="L881" s="28">
        <v>245</v>
      </c>
      <c r="M881" s="28">
        <v>0.05</v>
      </c>
      <c r="N881" s="28">
        <v>36750</v>
      </c>
      <c r="O881" s="28">
        <v>0.05</v>
      </c>
      <c r="P881" s="28">
        <v>0.66</v>
      </c>
      <c r="Q881" s="28">
        <v>10.31</v>
      </c>
      <c r="R881" s="26"/>
      <c r="S881" s="26"/>
      <c r="T881" s="26"/>
      <c r="U881" s="26"/>
    </row>
    <row r="882" spans="1:21" x14ac:dyDescent="0.3">
      <c r="A882" s="26"/>
      <c r="B882" s="29">
        <v>45486</v>
      </c>
      <c r="C882" s="28" t="s">
        <v>12</v>
      </c>
      <c r="D882" s="28" t="s">
        <v>66</v>
      </c>
      <c r="E882" s="28" t="s">
        <v>48</v>
      </c>
      <c r="F882" s="28" t="s">
        <v>36</v>
      </c>
      <c r="G882" s="28" t="s">
        <v>31</v>
      </c>
      <c r="H882" s="28" t="s">
        <v>87</v>
      </c>
      <c r="I882" s="28">
        <v>5550</v>
      </c>
      <c r="J882" s="28">
        <v>167000</v>
      </c>
      <c r="K882" s="28">
        <v>8350</v>
      </c>
      <c r="L882" s="28">
        <v>418</v>
      </c>
      <c r="M882" s="28">
        <v>0.05</v>
      </c>
      <c r="N882" s="28">
        <v>62625</v>
      </c>
      <c r="O882" s="28">
        <v>0.05</v>
      </c>
      <c r="P882" s="28">
        <v>0.66</v>
      </c>
      <c r="Q882" s="28">
        <v>10.28</v>
      </c>
      <c r="R882" s="26"/>
      <c r="S882" s="26"/>
      <c r="T882" s="26"/>
      <c r="U882" s="26"/>
    </row>
    <row r="883" spans="1:21" x14ac:dyDescent="0.3">
      <c r="A883" s="26"/>
      <c r="B883" s="29">
        <v>45263</v>
      </c>
      <c r="C883" s="28" t="s">
        <v>10</v>
      </c>
      <c r="D883" s="28" t="s">
        <v>81</v>
      </c>
      <c r="E883" s="28" t="s">
        <v>48</v>
      </c>
      <c r="F883" s="28" t="s">
        <v>45</v>
      </c>
      <c r="G883" s="28" t="s">
        <v>31</v>
      </c>
      <c r="H883" s="28" t="s">
        <v>88</v>
      </c>
      <c r="I883" s="28">
        <v>2250</v>
      </c>
      <c r="J883" s="28">
        <v>73000</v>
      </c>
      <c r="K883" s="28">
        <v>3650</v>
      </c>
      <c r="L883" s="28">
        <v>182</v>
      </c>
      <c r="M883" s="28">
        <v>0.05</v>
      </c>
      <c r="N883" s="28">
        <v>27375</v>
      </c>
      <c r="O883" s="28">
        <v>0.05</v>
      </c>
      <c r="P883" s="28">
        <v>0.62</v>
      </c>
      <c r="Q883" s="28">
        <v>11.17</v>
      </c>
      <c r="R883" s="26"/>
      <c r="S883" s="26"/>
      <c r="T883" s="26"/>
      <c r="U883" s="26"/>
    </row>
    <row r="884" spans="1:21" x14ac:dyDescent="0.3">
      <c r="A884" s="26"/>
      <c r="B884" s="29">
        <v>45621</v>
      </c>
      <c r="C884" s="28" t="s">
        <v>12</v>
      </c>
      <c r="D884" s="28" t="s">
        <v>71</v>
      </c>
      <c r="E884" s="28" t="s">
        <v>48</v>
      </c>
      <c r="F884" s="28" t="s">
        <v>43</v>
      </c>
      <c r="G884" s="28" t="s">
        <v>30</v>
      </c>
      <c r="H884" s="28" t="s">
        <v>88</v>
      </c>
      <c r="I884" s="28">
        <v>7600</v>
      </c>
      <c r="J884" s="28">
        <v>79000</v>
      </c>
      <c r="K884" s="28">
        <v>2370</v>
      </c>
      <c r="L884" s="28">
        <v>118</v>
      </c>
      <c r="M884" s="28">
        <v>0.05</v>
      </c>
      <c r="N884" s="28">
        <v>29625</v>
      </c>
      <c r="O884" s="28">
        <v>0.03</v>
      </c>
      <c r="P884" s="28">
        <v>3.21</v>
      </c>
      <c r="Q884" s="28">
        <v>2.9</v>
      </c>
      <c r="R884" s="26"/>
      <c r="S884" s="26"/>
      <c r="T884" s="26"/>
      <c r="U884" s="26"/>
    </row>
    <row r="885" spans="1:21" x14ac:dyDescent="0.3">
      <c r="A885" s="26"/>
      <c r="B885" s="29">
        <v>45429</v>
      </c>
      <c r="C885" s="28" t="s">
        <v>11</v>
      </c>
      <c r="D885" s="28" t="s">
        <v>71</v>
      </c>
      <c r="E885" s="28" t="s">
        <v>48</v>
      </c>
      <c r="F885" s="28" t="s">
        <v>36</v>
      </c>
      <c r="G885" s="28" t="s">
        <v>31</v>
      </c>
      <c r="H885" s="28" t="s">
        <v>86</v>
      </c>
      <c r="I885" s="28">
        <v>4850</v>
      </c>
      <c r="J885" s="28">
        <v>146000</v>
      </c>
      <c r="K885" s="28">
        <v>7300</v>
      </c>
      <c r="L885" s="28">
        <v>365</v>
      </c>
      <c r="M885" s="28">
        <v>0.05</v>
      </c>
      <c r="N885" s="28">
        <v>54750</v>
      </c>
      <c r="O885" s="28">
        <v>0.05</v>
      </c>
      <c r="P885" s="28">
        <v>0.66</v>
      </c>
      <c r="Q885" s="28">
        <v>10.29</v>
      </c>
      <c r="R885" s="26"/>
      <c r="S885" s="26"/>
      <c r="T885" s="26"/>
      <c r="U885" s="26"/>
    </row>
    <row r="886" spans="1:21" x14ac:dyDescent="0.3">
      <c r="A886" s="26"/>
      <c r="B886" s="29">
        <v>45204</v>
      </c>
      <c r="C886" s="28" t="s">
        <v>12</v>
      </c>
      <c r="D886" s="28" t="s">
        <v>69</v>
      </c>
      <c r="E886" s="28" t="s">
        <v>47</v>
      </c>
      <c r="F886" s="28" t="s">
        <v>41</v>
      </c>
      <c r="G886" s="28" t="s">
        <v>33</v>
      </c>
      <c r="H886" s="28" t="s">
        <v>88</v>
      </c>
      <c r="I886" s="28">
        <v>3650</v>
      </c>
      <c r="J886" s="28">
        <v>111000</v>
      </c>
      <c r="K886" s="28">
        <v>4440</v>
      </c>
      <c r="L886" s="28">
        <v>222</v>
      </c>
      <c r="M886" s="28">
        <v>0.05</v>
      </c>
      <c r="N886" s="28">
        <v>33300</v>
      </c>
      <c r="O886" s="28">
        <v>0.04</v>
      </c>
      <c r="P886" s="28">
        <v>0.82</v>
      </c>
      <c r="Q886" s="28">
        <v>8.1199999999999992</v>
      </c>
      <c r="R886" s="26"/>
      <c r="S886" s="26"/>
      <c r="T886" s="26"/>
      <c r="U886" s="26"/>
    </row>
    <row r="887" spans="1:21" x14ac:dyDescent="0.3">
      <c r="A887" s="26"/>
      <c r="B887" s="29">
        <v>45249</v>
      </c>
      <c r="C887" s="28" t="s">
        <v>10</v>
      </c>
      <c r="D887" s="28" t="s">
        <v>73</v>
      </c>
      <c r="E887" s="28" t="s">
        <v>47</v>
      </c>
      <c r="F887" s="28" t="s">
        <v>42</v>
      </c>
      <c r="G887" s="28" t="s">
        <v>33</v>
      </c>
      <c r="H887" s="28" t="s">
        <v>87</v>
      </c>
      <c r="I887" s="28">
        <v>688.4</v>
      </c>
      <c r="J887" s="28">
        <v>4477</v>
      </c>
      <c r="K887" s="28">
        <v>205</v>
      </c>
      <c r="L887" s="28">
        <v>38</v>
      </c>
      <c r="M887" s="28">
        <v>0.19</v>
      </c>
      <c r="N887" s="28">
        <v>17378.22</v>
      </c>
      <c r="O887" s="28">
        <v>4.58E-2</v>
      </c>
      <c r="P887" s="28">
        <v>3.36</v>
      </c>
      <c r="Q887" s="28">
        <v>24.244399999999999</v>
      </c>
      <c r="R887" s="26"/>
      <c r="S887" s="26"/>
      <c r="T887" s="26"/>
      <c r="U887" s="26"/>
    </row>
    <row r="888" spans="1:21" x14ac:dyDescent="0.3">
      <c r="A888" s="26"/>
      <c r="B888" s="29">
        <v>45320</v>
      </c>
      <c r="C888" s="28" t="s">
        <v>11</v>
      </c>
      <c r="D888" s="28" t="s">
        <v>77</v>
      </c>
      <c r="E888" s="28" t="s">
        <v>49</v>
      </c>
      <c r="F888" s="28" t="s">
        <v>41</v>
      </c>
      <c r="G888" s="28" t="s">
        <v>32</v>
      </c>
      <c r="H888" s="28" t="s">
        <v>85</v>
      </c>
      <c r="I888" s="28">
        <v>3100</v>
      </c>
      <c r="J888" s="28">
        <v>98000</v>
      </c>
      <c r="K888" s="28">
        <v>3920</v>
      </c>
      <c r="L888" s="28">
        <v>196</v>
      </c>
      <c r="M888" s="28">
        <v>0.05</v>
      </c>
      <c r="N888" s="28">
        <v>29400</v>
      </c>
      <c r="O888" s="28">
        <v>0.04</v>
      </c>
      <c r="P888" s="28">
        <v>0.79</v>
      </c>
      <c r="Q888" s="28">
        <v>8.48</v>
      </c>
      <c r="R888" s="26"/>
      <c r="S888" s="26"/>
      <c r="T888" s="26"/>
      <c r="U888" s="26"/>
    </row>
    <row r="889" spans="1:21" x14ac:dyDescent="0.3">
      <c r="A889" s="26"/>
      <c r="B889" s="29">
        <v>45436</v>
      </c>
      <c r="C889" s="28" t="s">
        <v>10</v>
      </c>
      <c r="D889" s="28" t="s">
        <v>82</v>
      </c>
      <c r="E889" s="28" t="s">
        <v>47</v>
      </c>
      <c r="F889" s="28" t="s">
        <v>34</v>
      </c>
      <c r="G889" s="28" t="s">
        <v>32</v>
      </c>
      <c r="H889" s="28" t="s">
        <v>86</v>
      </c>
      <c r="I889" s="28">
        <v>5150</v>
      </c>
      <c r="J889" s="28">
        <v>158000</v>
      </c>
      <c r="K889" s="28">
        <v>6320</v>
      </c>
      <c r="L889" s="28">
        <v>316</v>
      </c>
      <c r="M889" s="28">
        <v>0.05</v>
      </c>
      <c r="N889" s="28">
        <v>47400</v>
      </c>
      <c r="O889" s="28">
        <v>0.04</v>
      </c>
      <c r="P889" s="28">
        <v>0.81</v>
      </c>
      <c r="Q889" s="28">
        <v>8.1999999999999993</v>
      </c>
      <c r="R889" s="26"/>
      <c r="S889" s="26"/>
      <c r="T889" s="26"/>
      <c r="U889" s="26"/>
    </row>
    <row r="890" spans="1:21" x14ac:dyDescent="0.3">
      <c r="A890" s="26"/>
      <c r="B890" s="29">
        <v>45164</v>
      </c>
      <c r="C890" s="28" t="s">
        <v>11</v>
      </c>
      <c r="D890" s="28" t="s">
        <v>84</v>
      </c>
      <c r="E890" s="28" t="s">
        <v>48</v>
      </c>
      <c r="F890" s="28" t="s">
        <v>36</v>
      </c>
      <c r="G890" s="28" t="s">
        <v>30</v>
      </c>
      <c r="H890" s="28" t="s">
        <v>87</v>
      </c>
      <c r="I890" s="28">
        <v>6200</v>
      </c>
      <c r="J890" s="28">
        <v>65000</v>
      </c>
      <c r="K890" s="28">
        <v>1950</v>
      </c>
      <c r="L890" s="28">
        <v>98</v>
      </c>
      <c r="M890" s="28">
        <v>0.05</v>
      </c>
      <c r="N890" s="28">
        <v>24375</v>
      </c>
      <c r="O890" s="28">
        <v>0.03</v>
      </c>
      <c r="P890" s="28">
        <v>3.18</v>
      </c>
      <c r="Q890" s="28">
        <v>2.93</v>
      </c>
      <c r="R890" s="26"/>
      <c r="S890" s="26"/>
      <c r="T890" s="26"/>
      <c r="U890" s="26"/>
    </row>
    <row r="891" spans="1:21" x14ac:dyDescent="0.3">
      <c r="A891" s="26"/>
      <c r="B891" s="29">
        <v>45639</v>
      </c>
      <c r="C891" s="28" t="s">
        <v>11</v>
      </c>
      <c r="D891" s="28" t="s">
        <v>71</v>
      </c>
      <c r="E891" s="28" t="s">
        <v>48</v>
      </c>
      <c r="F891" s="28" t="s">
        <v>40</v>
      </c>
      <c r="G891" s="28" t="s">
        <v>31</v>
      </c>
      <c r="H891" s="28" t="s">
        <v>88</v>
      </c>
      <c r="I891" s="28">
        <v>6050</v>
      </c>
      <c r="J891" s="28">
        <v>182000</v>
      </c>
      <c r="K891" s="28">
        <v>9100</v>
      </c>
      <c r="L891" s="28">
        <v>455</v>
      </c>
      <c r="M891" s="28">
        <v>0.05</v>
      </c>
      <c r="N891" s="28">
        <v>68250</v>
      </c>
      <c r="O891" s="28">
        <v>0.05</v>
      </c>
      <c r="P891" s="28">
        <v>0.66</v>
      </c>
      <c r="Q891" s="28">
        <v>10.28</v>
      </c>
      <c r="R891" s="26"/>
      <c r="S891" s="26"/>
      <c r="T891" s="26"/>
      <c r="U891" s="26"/>
    </row>
    <row r="892" spans="1:21" x14ac:dyDescent="0.3">
      <c r="A892" s="26"/>
      <c r="B892" s="29">
        <v>45504</v>
      </c>
      <c r="C892" s="28" t="s">
        <v>12</v>
      </c>
      <c r="D892" s="28" t="s">
        <v>84</v>
      </c>
      <c r="E892" s="28" t="s">
        <v>48</v>
      </c>
      <c r="F892" s="28" t="s">
        <v>44</v>
      </c>
      <c r="G892" s="28" t="s">
        <v>31</v>
      </c>
      <c r="H892" s="28" t="s">
        <v>87</v>
      </c>
      <c r="I892" s="28">
        <v>2150</v>
      </c>
      <c r="J892" s="28">
        <v>73000</v>
      </c>
      <c r="K892" s="28">
        <v>3650</v>
      </c>
      <c r="L892" s="28">
        <v>182</v>
      </c>
      <c r="M892" s="28">
        <v>0.05</v>
      </c>
      <c r="N892" s="28">
        <v>27375</v>
      </c>
      <c r="O892" s="28">
        <v>0.05</v>
      </c>
      <c r="P892" s="28">
        <v>0.59</v>
      </c>
      <c r="Q892" s="28">
        <v>11.73</v>
      </c>
      <c r="R892" s="26"/>
      <c r="S892" s="26"/>
      <c r="T892" s="26"/>
      <c r="U892" s="26"/>
    </row>
    <row r="893" spans="1:21" x14ac:dyDescent="0.3">
      <c r="A893" s="26"/>
      <c r="B893" s="29">
        <v>45231</v>
      </c>
      <c r="C893" s="28" t="s">
        <v>12</v>
      </c>
      <c r="D893" s="28" t="s">
        <v>81</v>
      </c>
      <c r="E893" s="28" t="s">
        <v>48</v>
      </c>
      <c r="F893" s="28" t="s">
        <v>41</v>
      </c>
      <c r="G893" s="28" t="s">
        <v>30</v>
      </c>
      <c r="H893" s="28" t="s">
        <v>88</v>
      </c>
      <c r="I893" s="28">
        <v>5900</v>
      </c>
      <c r="J893" s="28">
        <v>62000</v>
      </c>
      <c r="K893" s="28">
        <v>1860</v>
      </c>
      <c r="L893" s="28">
        <v>93</v>
      </c>
      <c r="M893" s="28">
        <v>0.05</v>
      </c>
      <c r="N893" s="28">
        <v>23250</v>
      </c>
      <c r="O893" s="28">
        <v>0.03</v>
      </c>
      <c r="P893" s="28">
        <v>3.17</v>
      </c>
      <c r="Q893" s="28">
        <v>2.94</v>
      </c>
      <c r="R893" s="26"/>
      <c r="S893" s="26"/>
      <c r="T893" s="26"/>
      <c r="U893" s="26"/>
    </row>
    <row r="894" spans="1:21" x14ac:dyDescent="0.3">
      <c r="A894" s="26"/>
      <c r="B894" s="29">
        <v>45469</v>
      </c>
      <c r="C894" s="28" t="s">
        <v>12</v>
      </c>
      <c r="D894" s="28" t="s">
        <v>69</v>
      </c>
      <c r="E894" s="28" t="s">
        <v>47</v>
      </c>
      <c r="F894" s="28" t="s">
        <v>45</v>
      </c>
      <c r="G894" s="28" t="s">
        <v>31</v>
      </c>
      <c r="H894" s="28" t="s">
        <v>86</v>
      </c>
      <c r="I894" s="28">
        <v>2550</v>
      </c>
      <c r="J894" s="28">
        <v>79000</v>
      </c>
      <c r="K894" s="28">
        <v>3950</v>
      </c>
      <c r="L894" s="28">
        <v>198</v>
      </c>
      <c r="M894" s="28">
        <v>0.05</v>
      </c>
      <c r="N894" s="28">
        <v>29625</v>
      </c>
      <c r="O894" s="28">
        <v>0.05</v>
      </c>
      <c r="P894" s="28">
        <v>0.65</v>
      </c>
      <c r="Q894" s="28">
        <v>10.62</v>
      </c>
      <c r="R894" s="26"/>
      <c r="S894" s="26"/>
      <c r="T894" s="26"/>
      <c r="U894" s="26"/>
    </row>
    <row r="895" spans="1:21" x14ac:dyDescent="0.3">
      <c r="A895" s="26"/>
      <c r="B895" s="29">
        <v>45228</v>
      </c>
      <c r="C895" s="28" t="s">
        <v>10</v>
      </c>
      <c r="D895" s="28" t="s">
        <v>75</v>
      </c>
      <c r="E895" s="28" t="s">
        <v>47</v>
      </c>
      <c r="F895" s="28" t="s">
        <v>45</v>
      </c>
      <c r="G895" s="28" t="s">
        <v>30</v>
      </c>
      <c r="H895" s="28" t="s">
        <v>85</v>
      </c>
      <c r="I895" s="28">
        <v>1957.63</v>
      </c>
      <c r="J895" s="28">
        <v>6396</v>
      </c>
      <c r="K895" s="28">
        <v>191</v>
      </c>
      <c r="L895" s="28">
        <v>17</v>
      </c>
      <c r="M895" s="28">
        <v>0.09</v>
      </c>
      <c r="N895" s="28">
        <v>4503.55</v>
      </c>
      <c r="O895" s="28">
        <v>2.9899999999999999E-2</v>
      </c>
      <c r="P895" s="28">
        <v>10.25</v>
      </c>
      <c r="Q895" s="28">
        <v>1.3005</v>
      </c>
      <c r="R895" s="26"/>
      <c r="S895" s="26"/>
      <c r="T895" s="26"/>
      <c r="U895" s="26"/>
    </row>
    <row r="896" spans="1:21" x14ac:dyDescent="0.3">
      <c r="A896" s="26"/>
      <c r="B896" s="29">
        <v>45344</v>
      </c>
      <c r="C896" s="28" t="s">
        <v>13</v>
      </c>
      <c r="D896" s="28" t="s">
        <v>71</v>
      </c>
      <c r="E896" s="28" t="s">
        <v>48</v>
      </c>
      <c r="F896" s="28" t="s">
        <v>36</v>
      </c>
      <c r="G896" s="28" t="s">
        <v>31</v>
      </c>
      <c r="H896" s="28" t="s">
        <v>85</v>
      </c>
      <c r="I896" s="28">
        <v>2250</v>
      </c>
      <c r="J896" s="28">
        <v>74000</v>
      </c>
      <c r="K896" s="28">
        <v>3700</v>
      </c>
      <c r="L896" s="28">
        <v>185</v>
      </c>
      <c r="M896" s="28">
        <v>0.05</v>
      </c>
      <c r="N896" s="28">
        <v>27750</v>
      </c>
      <c r="O896" s="28">
        <v>0.05</v>
      </c>
      <c r="P896" s="28">
        <v>0.61</v>
      </c>
      <c r="Q896" s="28">
        <v>11.33</v>
      </c>
      <c r="R896" s="26"/>
      <c r="S896" s="26"/>
      <c r="T896" s="26"/>
      <c r="U896" s="26"/>
    </row>
    <row r="897" spans="1:21" x14ac:dyDescent="0.3">
      <c r="A897" s="26"/>
      <c r="B897" s="29">
        <v>45636</v>
      </c>
      <c r="C897" s="28" t="s">
        <v>12</v>
      </c>
      <c r="D897" s="28" t="s">
        <v>84</v>
      </c>
      <c r="E897" s="28" t="s">
        <v>48</v>
      </c>
      <c r="F897" s="28" t="s">
        <v>45</v>
      </c>
      <c r="G897" s="28" t="s">
        <v>31</v>
      </c>
      <c r="H897" s="28" t="s">
        <v>88</v>
      </c>
      <c r="I897" s="28">
        <v>2400</v>
      </c>
      <c r="J897" s="28">
        <v>77000</v>
      </c>
      <c r="K897" s="28">
        <v>3850</v>
      </c>
      <c r="L897" s="28">
        <v>192</v>
      </c>
      <c r="M897" s="28">
        <v>0.05</v>
      </c>
      <c r="N897" s="28">
        <v>28875</v>
      </c>
      <c r="O897" s="28">
        <v>0.05</v>
      </c>
      <c r="P897" s="28">
        <v>0.62</v>
      </c>
      <c r="Q897" s="28">
        <v>11.03</v>
      </c>
      <c r="R897" s="26"/>
      <c r="S897" s="26"/>
      <c r="T897" s="26"/>
      <c r="U897" s="26"/>
    </row>
    <row r="898" spans="1:21" x14ac:dyDescent="0.3">
      <c r="A898" s="26"/>
      <c r="B898" s="29">
        <v>45374</v>
      </c>
      <c r="C898" s="28" t="s">
        <v>13</v>
      </c>
      <c r="D898" s="28" t="s">
        <v>75</v>
      </c>
      <c r="E898" s="28" t="s">
        <v>47</v>
      </c>
      <c r="F898" s="28" t="s">
        <v>41</v>
      </c>
      <c r="G898" s="28" t="s">
        <v>30</v>
      </c>
      <c r="H898" s="28" t="s">
        <v>86</v>
      </c>
      <c r="I898" s="28">
        <v>6800</v>
      </c>
      <c r="J898" s="28">
        <v>71000</v>
      </c>
      <c r="K898" s="28">
        <v>2130</v>
      </c>
      <c r="L898" s="28">
        <v>106</v>
      </c>
      <c r="M898" s="28">
        <v>0.05</v>
      </c>
      <c r="N898" s="28">
        <v>26625</v>
      </c>
      <c r="O898" s="28">
        <v>0.03</v>
      </c>
      <c r="P898" s="28">
        <v>3.19</v>
      </c>
      <c r="Q898" s="28">
        <v>2.92</v>
      </c>
      <c r="R898" s="26"/>
      <c r="S898" s="26"/>
      <c r="T898" s="26"/>
      <c r="U898" s="26"/>
    </row>
    <row r="899" spans="1:21" x14ac:dyDescent="0.3">
      <c r="A899" s="26"/>
      <c r="B899" s="29">
        <v>45422</v>
      </c>
      <c r="C899" s="28" t="s">
        <v>11</v>
      </c>
      <c r="D899" s="28" t="s">
        <v>67</v>
      </c>
      <c r="E899" s="28" t="s">
        <v>48</v>
      </c>
      <c r="F899" s="28" t="s">
        <v>44</v>
      </c>
      <c r="G899" s="28" t="s">
        <v>33</v>
      </c>
      <c r="H899" s="28" t="s">
        <v>86</v>
      </c>
      <c r="I899" s="28">
        <v>4650</v>
      </c>
      <c r="J899" s="28">
        <v>141000</v>
      </c>
      <c r="K899" s="28">
        <v>5640</v>
      </c>
      <c r="L899" s="28">
        <v>282</v>
      </c>
      <c r="M899" s="28">
        <v>0.05</v>
      </c>
      <c r="N899" s="28">
        <v>42300</v>
      </c>
      <c r="O899" s="28">
        <v>0.04</v>
      </c>
      <c r="P899" s="28">
        <v>0.82</v>
      </c>
      <c r="Q899" s="28">
        <v>8.1</v>
      </c>
      <c r="R899" s="26"/>
      <c r="S899" s="26"/>
      <c r="T899" s="26"/>
      <c r="U899" s="26"/>
    </row>
    <row r="900" spans="1:21" x14ac:dyDescent="0.3">
      <c r="A900" s="26"/>
      <c r="B900" s="29">
        <v>44947</v>
      </c>
      <c r="C900" s="28" t="s">
        <v>11</v>
      </c>
      <c r="D900" s="28" t="s">
        <v>82</v>
      </c>
      <c r="E900" s="28" t="s">
        <v>47</v>
      </c>
      <c r="F900" s="28" t="s">
        <v>44</v>
      </c>
      <c r="G900" s="28" t="s">
        <v>33</v>
      </c>
      <c r="H900" s="28" t="s">
        <v>85</v>
      </c>
      <c r="I900" s="28">
        <v>2950</v>
      </c>
      <c r="J900" s="28">
        <v>90000</v>
      </c>
      <c r="K900" s="28">
        <v>3600</v>
      </c>
      <c r="L900" s="28">
        <v>180</v>
      </c>
      <c r="M900" s="28">
        <v>0.05</v>
      </c>
      <c r="N900" s="28">
        <v>27000</v>
      </c>
      <c r="O900" s="28">
        <v>0.04</v>
      </c>
      <c r="P900" s="28">
        <v>0.82</v>
      </c>
      <c r="Q900" s="28">
        <v>8.15</v>
      </c>
      <c r="R900" s="26"/>
      <c r="S900" s="26"/>
      <c r="T900" s="26"/>
      <c r="U900" s="26"/>
    </row>
    <row r="901" spans="1:21" x14ac:dyDescent="0.3">
      <c r="A901" s="26"/>
      <c r="B901" s="29">
        <v>45333</v>
      </c>
      <c r="C901" s="28" t="s">
        <v>12</v>
      </c>
      <c r="D901" s="28" t="s">
        <v>82</v>
      </c>
      <c r="E901" s="28" t="s">
        <v>47</v>
      </c>
      <c r="F901" s="28" t="s">
        <v>44</v>
      </c>
      <c r="G901" s="28" t="s">
        <v>30</v>
      </c>
      <c r="H901" s="28" t="s">
        <v>86</v>
      </c>
      <c r="I901" s="28">
        <v>3091.34</v>
      </c>
      <c r="J901" s="28">
        <v>4665</v>
      </c>
      <c r="K901" s="28">
        <v>150</v>
      </c>
      <c r="L901" s="28">
        <v>37</v>
      </c>
      <c r="M901" s="28">
        <v>0.25</v>
      </c>
      <c r="N901" s="28">
        <v>18223.16</v>
      </c>
      <c r="O901" s="28">
        <v>3.2199999999999999E-2</v>
      </c>
      <c r="P901" s="28">
        <v>20.61</v>
      </c>
      <c r="Q901" s="28">
        <v>4.8948999999999998</v>
      </c>
      <c r="R901" s="26"/>
      <c r="S901" s="26"/>
      <c r="T901" s="26"/>
      <c r="U901" s="26"/>
    </row>
    <row r="902" spans="1:21" x14ac:dyDescent="0.3">
      <c r="A902" s="26"/>
      <c r="B902" s="29">
        <v>44985</v>
      </c>
      <c r="C902" s="28" t="s">
        <v>12</v>
      </c>
      <c r="D902" s="28" t="s">
        <v>68</v>
      </c>
      <c r="E902" s="28" t="s">
        <v>47</v>
      </c>
      <c r="F902" s="28" t="s">
        <v>39</v>
      </c>
      <c r="G902" s="28" t="s">
        <v>30</v>
      </c>
      <c r="H902" s="28" t="s">
        <v>85</v>
      </c>
      <c r="I902" s="28">
        <v>5600</v>
      </c>
      <c r="J902" s="28">
        <v>59000</v>
      </c>
      <c r="K902" s="28">
        <v>1770</v>
      </c>
      <c r="L902" s="28">
        <v>88</v>
      </c>
      <c r="M902" s="28">
        <v>0.05</v>
      </c>
      <c r="N902" s="28">
        <v>22125</v>
      </c>
      <c r="O902" s="28">
        <v>0.03</v>
      </c>
      <c r="P902" s="28">
        <v>3.16</v>
      </c>
      <c r="Q902" s="28">
        <v>2.95</v>
      </c>
      <c r="R902" s="26"/>
      <c r="S902" s="26"/>
      <c r="T902" s="26"/>
      <c r="U902" s="26"/>
    </row>
    <row r="903" spans="1:21" x14ac:dyDescent="0.3">
      <c r="A903" s="26"/>
      <c r="B903" s="29">
        <v>45468</v>
      </c>
      <c r="C903" s="28" t="s">
        <v>10</v>
      </c>
      <c r="D903" s="28" t="s">
        <v>75</v>
      </c>
      <c r="E903" s="28" t="s">
        <v>47</v>
      </c>
      <c r="F903" s="28" t="s">
        <v>42</v>
      </c>
      <c r="G903" s="28" t="s">
        <v>32</v>
      </c>
      <c r="H903" s="28" t="s">
        <v>87</v>
      </c>
      <c r="I903" s="28">
        <v>3800</v>
      </c>
      <c r="J903" s="28">
        <v>118000</v>
      </c>
      <c r="K903" s="28">
        <v>4720</v>
      </c>
      <c r="L903" s="28">
        <v>236</v>
      </c>
      <c r="M903" s="28">
        <v>0.05</v>
      </c>
      <c r="N903" s="28">
        <v>35400</v>
      </c>
      <c r="O903" s="28">
        <v>0.04</v>
      </c>
      <c r="P903" s="28">
        <v>0.81</v>
      </c>
      <c r="Q903" s="28">
        <v>8.32</v>
      </c>
      <c r="R903" s="26"/>
      <c r="S903" s="26"/>
      <c r="T903" s="26"/>
      <c r="U903" s="26"/>
    </row>
    <row r="904" spans="1:21" x14ac:dyDescent="0.3">
      <c r="A904" s="26"/>
      <c r="B904" s="29">
        <v>45523</v>
      </c>
      <c r="C904" s="28" t="s">
        <v>12</v>
      </c>
      <c r="D904" s="28" t="s">
        <v>78</v>
      </c>
      <c r="E904" s="28" t="s">
        <v>48</v>
      </c>
      <c r="F904" s="28" t="s">
        <v>34</v>
      </c>
      <c r="G904" s="28" t="s">
        <v>31</v>
      </c>
      <c r="H904" s="28" t="s">
        <v>87</v>
      </c>
      <c r="I904" s="28">
        <v>5950</v>
      </c>
      <c r="J904" s="28">
        <v>179000</v>
      </c>
      <c r="K904" s="28">
        <v>8950</v>
      </c>
      <c r="L904" s="28">
        <v>448</v>
      </c>
      <c r="M904" s="28">
        <v>0.05</v>
      </c>
      <c r="N904" s="28">
        <v>67125</v>
      </c>
      <c r="O904" s="28">
        <v>0.05</v>
      </c>
      <c r="P904" s="28">
        <v>0.66</v>
      </c>
      <c r="Q904" s="28">
        <v>10.28</v>
      </c>
      <c r="R904" s="26"/>
      <c r="S904" s="26"/>
      <c r="T904" s="26"/>
      <c r="U904" s="26"/>
    </row>
    <row r="905" spans="1:21" x14ac:dyDescent="0.3">
      <c r="A905" s="26"/>
      <c r="B905" s="29">
        <v>45628</v>
      </c>
      <c r="C905" s="28" t="s">
        <v>13</v>
      </c>
      <c r="D905" s="28" t="s">
        <v>84</v>
      </c>
      <c r="E905" s="28" t="s">
        <v>48</v>
      </c>
      <c r="F905" s="28" t="s">
        <v>45</v>
      </c>
      <c r="G905" s="28" t="s">
        <v>31</v>
      </c>
      <c r="H905" s="28" t="s">
        <v>88</v>
      </c>
      <c r="I905" s="28">
        <v>6550</v>
      </c>
      <c r="J905" s="28">
        <v>197000</v>
      </c>
      <c r="K905" s="28">
        <v>9850</v>
      </c>
      <c r="L905" s="28">
        <v>492</v>
      </c>
      <c r="M905" s="28">
        <v>0.05</v>
      </c>
      <c r="N905" s="28">
        <v>73875</v>
      </c>
      <c r="O905" s="28">
        <v>0.05</v>
      </c>
      <c r="P905" s="28">
        <v>0.66</v>
      </c>
      <c r="Q905" s="28">
        <v>10.28</v>
      </c>
      <c r="R905" s="26"/>
      <c r="S905" s="26"/>
      <c r="T905" s="26"/>
      <c r="U905" s="26"/>
    </row>
    <row r="906" spans="1:21" x14ac:dyDescent="0.3">
      <c r="A906" s="26"/>
      <c r="B906" s="29">
        <v>45270</v>
      </c>
      <c r="C906" s="28" t="s">
        <v>12</v>
      </c>
      <c r="D906" s="28" t="s">
        <v>66</v>
      </c>
      <c r="E906" s="28" t="s">
        <v>48</v>
      </c>
      <c r="F906" s="28" t="s">
        <v>40</v>
      </c>
      <c r="G906" s="28" t="s">
        <v>30</v>
      </c>
      <c r="H906" s="28" t="s">
        <v>88</v>
      </c>
      <c r="I906" s="28">
        <v>5500</v>
      </c>
      <c r="J906" s="28">
        <v>57000</v>
      </c>
      <c r="K906" s="28">
        <v>1710</v>
      </c>
      <c r="L906" s="28">
        <v>86</v>
      </c>
      <c r="M906" s="28">
        <v>0.05</v>
      </c>
      <c r="N906" s="28">
        <v>21375</v>
      </c>
      <c r="O906" s="28">
        <v>0.03</v>
      </c>
      <c r="P906" s="28">
        <v>3.22</v>
      </c>
      <c r="Q906" s="28">
        <v>2.89</v>
      </c>
      <c r="R906" s="26"/>
      <c r="S906" s="26"/>
      <c r="T906" s="26"/>
      <c r="U906" s="26"/>
    </row>
    <row r="907" spans="1:21" x14ac:dyDescent="0.3">
      <c r="A907" s="26"/>
      <c r="B907" s="29">
        <v>45275</v>
      </c>
      <c r="C907" s="28" t="s">
        <v>13</v>
      </c>
      <c r="D907" s="28" t="s">
        <v>65</v>
      </c>
      <c r="E907" s="28" t="s">
        <v>47</v>
      </c>
      <c r="F907" s="28" t="s">
        <v>41</v>
      </c>
      <c r="G907" s="28" t="s">
        <v>31</v>
      </c>
      <c r="H907" s="28" t="s">
        <v>88</v>
      </c>
      <c r="I907" s="28">
        <v>3950</v>
      </c>
      <c r="J907" s="28">
        <v>119000</v>
      </c>
      <c r="K907" s="28">
        <v>5950</v>
      </c>
      <c r="L907" s="28">
        <v>298</v>
      </c>
      <c r="M907" s="28">
        <v>0.05</v>
      </c>
      <c r="N907" s="28">
        <v>44625</v>
      </c>
      <c r="O907" s="28">
        <v>0.05</v>
      </c>
      <c r="P907" s="28">
        <v>0.66</v>
      </c>
      <c r="Q907" s="28">
        <v>10.3</v>
      </c>
      <c r="R907" s="26"/>
      <c r="S907" s="26"/>
      <c r="T907" s="26"/>
      <c r="U907" s="26"/>
    </row>
    <row r="908" spans="1:21" x14ac:dyDescent="0.3">
      <c r="A908" s="26"/>
      <c r="B908" s="29">
        <v>45333</v>
      </c>
      <c r="C908" s="28" t="s">
        <v>13</v>
      </c>
      <c r="D908" s="28" t="s">
        <v>81</v>
      </c>
      <c r="E908" s="28" t="s">
        <v>48</v>
      </c>
      <c r="F908" s="28" t="s">
        <v>39</v>
      </c>
      <c r="G908" s="28" t="s">
        <v>30</v>
      </c>
      <c r="H908" s="28" t="s">
        <v>86</v>
      </c>
      <c r="I908" s="28">
        <v>3091.34</v>
      </c>
      <c r="J908" s="28">
        <v>4665</v>
      </c>
      <c r="K908" s="28">
        <v>150</v>
      </c>
      <c r="L908" s="28">
        <v>37</v>
      </c>
      <c r="M908" s="28">
        <v>0.25</v>
      </c>
      <c r="N908" s="28">
        <v>18223.16</v>
      </c>
      <c r="O908" s="28">
        <v>3.2199999999999999E-2</v>
      </c>
      <c r="P908" s="28">
        <v>20.61</v>
      </c>
      <c r="Q908" s="28">
        <v>4.8948999999999998</v>
      </c>
      <c r="R908" s="26"/>
      <c r="S908" s="26"/>
      <c r="T908" s="26"/>
      <c r="U908" s="26"/>
    </row>
    <row r="909" spans="1:21" x14ac:dyDescent="0.3">
      <c r="A909" s="26"/>
      <c r="B909" s="29">
        <v>45452</v>
      </c>
      <c r="C909" s="28" t="s">
        <v>12</v>
      </c>
      <c r="D909" s="28" t="s">
        <v>72</v>
      </c>
      <c r="E909" s="28" t="s">
        <v>47</v>
      </c>
      <c r="F909" s="28" t="s">
        <v>44</v>
      </c>
      <c r="G909" s="28" t="s">
        <v>31</v>
      </c>
      <c r="H909" s="28" t="s">
        <v>85</v>
      </c>
      <c r="I909" s="28">
        <v>1532.29</v>
      </c>
      <c r="J909" s="28">
        <v>8742</v>
      </c>
      <c r="K909" s="28">
        <v>635</v>
      </c>
      <c r="L909" s="28">
        <v>20</v>
      </c>
      <c r="M909" s="28">
        <v>0.03</v>
      </c>
      <c r="N909" s="28">
        <v>5409.03</v>
      </c>
      <c r="O909" s="28">
        <v>7.2599999999999998E-2</v>
      </c>
      <c r="P909" s="28">
        <v>2.41</v>
      </c>
      <c r="Q909" s="28">
        <v>2.5299999999999998</v>
      </c>
      <c r="R909" s="26"/>
      <c r="S909" s="26"/>
      <c r="T909" s="26"/>
      <c r="U909" s="26"/>
    </row>
    <row r="910" spans="1:21" x14ac:dyDescent="0.3">
      <c r="A910" s="26"/>
      <c r="B910" s="29">
        <v>44960</v>
      </c>
      <c r="C910" s="28" t="s">
        <v>11</v>
      </c>
      <c r="D910" s="28" t="s">
        <v>66</v>
      </c>
      <c r="E910" s="28" t="s">
        <v>48</v>
      </c>
      <c r="F910" s="28" t="s">
        <v>40</v>
      </c>
      <c r="G910" s="28" t="s">
        <v>31</v>
      </c>
      <c r="H910" s="28" t="s">
        <v>85</v>
      </c>
      <c r="I910" s="28">
        <v>2050</v>
      </c>
      <c r="J910" s="28">
        <v>70000</v>
      </c>
      <c r="K910" s="28">
        <v>3500</v>
      </c>
      <c r="L910" s="28">
        <v>175</v>
      </c>
      <c r="M910" s="28">
        <v>0.05</v>
      </c>
      <c r="N910" s="28">
        <v>26250</v>
      </c>
      <c r="O910" s="28">
        <v>0.05</v>
      </c>
      <c r="P910" s="28">
        <v>0.59</v>
      </c>
      <c r="Q910" s="28">
        <v>11.8</v>
      </c>
      <c r="R910" s="26"/>
      <c r="S910" s="26"/>
      <c r="T910" s="26"/>
      <c r="U910" s="26"/>
    </row>
    <row r="911" spans="1:21" x14ac:dyDescent="0.3">
      <c r="A911" s="26"/>
      <c r="B911" s="29">
        <v>45126</v>
      </c>
      <c r="C911" s="28" t="s">
        <v>12</v>
      </c>
      <c r="D911" s="28" t="s">
        <v>74</v>
      </c>
      <c r="E911" s="28" t="s">
        <v>49</v>
      </c>
      <c r="F911" s="28" t="s">
        <v>41</v>
      </c>
      <c r="G911" s="28" t="s">
        <v>30</v>
      </c>
      <c r="H911" s="28" t="s">
        <v>87</v>
      </c>
      <c r="I911" s="28">
        <v>5500</v>
      </c>
      <c r="J911" s="28">
        <v>59000</v>
      </c>
      <c r="K911" s="28">
        <v>1770</v>
      </c>
      <c r="L911" s="28">
        <v>88</v>
      </c>
      <c r="M911" s="28">
        <v>0.05</v>
      </c>
      <c r="N911" s="28">
        <v>22125</v>
      </c>
      <c r="O911" s="28">
        <v>0.03</v>
      </c>
      <c r="P911" s="28">
        <v>3.11</v>
      </c>
      <c r="Q911" s="28">
        <v>3.02</v>
      </c>
      <c r="R911" s="26"/>
      <c r="S911" s="26"/>
      <c r="T911" s="26"/>
      <c r="U911" s="26"/>
    </row>
    <row r="912" spans="1:21" x14ac:dyDescent="0.3">
      <c r="A912" s="26"/>
      <c r="B912" s="29">
        <v>45530</v>
      </c>
      <c r="C912" s="28" t="s">
        <v>12</v>
      </c>
      <c r="D912" s="28" t="s">
        <v>73</v>
      </c>
      <c r="E912" s="28" t="s">
        <v>47</v>
      </c>
      <c r="F912" s="28" t="s">
        <v>45</v>
      </c>
      <c r="G912" s="28" t="s">
        <v>33</v>
      </c>
      <c r="H912" s="28" t="s">
        <v>87</v>
      </c>
      <c r="I912" s="28">
        <v>5150</v>
      </c>
      <c r="J912" s="28">
        <v>156000</v>
      </c>
      <c r="K912" s="28">
        <v>6240</v>
      </c>
      <c r="L912" s="28">
        <v>312</v>
      </c>
      <c r="M912" s="28">
        <v>0.05</v>
      </c>
      <c r="N912" s="28">
        <v>46800</v>
      </c>
      <c r="O912" s="28">
        <v>0.04</v>
      </c>
      <c r="P912" s="28">
        <v>0.82</v>
      </c>
      <c r="Q912" s="28">
        <v>8.09</v>
      </c>
      <c r="R912" s="26"/>
      <c r="S912" s="26"/>
      <c r="T912" s="26"/>
      <c r="U912" s="26"/>
    </row>
    <row r="913" spans="1:21" x14ac:dyDescent="0.3">
      <c r="A913" s="26"/>
      <c r="B913" s="29">
        <v>45445</v>
      </c>
      <c r="C913" s="28" t="s">
        <v>12</v>
      </c>
      <c r="D913" s="28" t="s">
        <v>74</v>
      </c>
      <c r="E913" s="28" t="s">
        <v>49</v>
      </c>
      <c r="F913" s="28" t="s">
        <v>44</v>
      </c>
      <c r="G913" s="28" t="s">
        <v>31</v>
      </c>
      <c r="H913" s="28" t="s">
        <v>86</v>
      </c>
      <c r="I913" s="28">
        <v>1203.33</v>
      </c>
      <c r="J913" s="28">
        <v>5425</v>
      </c>
      <c r="K913" s="28">
        <v>764</v>
      </c>
      <c r="L913" s="28">
        <v>36</v>
      </c>
      <c r="M913" s="28">
        <v>0.05</v>
      </c>
      <c r="N913" s="28">
        <v>2873.42</v>
      </c>
      <c r="O913" s="28">
        <v>0.14080000000000001</v>
      </c>
      <c r="P913" s="28">
        <v>1.58</v>
      </c>
      <c r="Q913" s="28">
        <v>1.3878999999999999</v>
      </c>
      <c r="R913" s="26"/>
      <c r="S913" s="26"/>
      <c r="T913" s="26"/>
      <c r="U913" s="26"/>
    </row>
    <row r="914" spans="1:21" x14ac:dyDescent="0.3">
      <c r="A914" s="26"/>
      <c r="B914" s="29">
        <v>45501</v>
      </c>
      <c r="C914" s="28" t="s">
        <v>10</v>
      </c>
      <c r="D914" s="28" t="s">
        <v>77</v>
      </c>
      <c r="E914" s="28" t="s">
        <v>49</v>
      </c>
      <c r="F914" s="28" t="s">
        <v>36</v>
      </c>
      <c r="G914" s="28" t="s">
        <v>31</v>
      </c>
      <c r="H914" s="28" t="s">
        <v>87</v>
      </c>
      <c r="I914" s="28">
        <v>1700</v>
      </c>
      <c r="J914" s="28">
        <v>64000</v>
      </c>
      <c r="K914" s="28">
        <v>3200</v>
      </c>
      <c r="L914" s="28">
        <v>160</v>
      </c>
      <c r="M914" s="28">
        <v>0.05</v>
      </c>
      <c r="N914" s="28">
        <v>24000</v>
      </c>
      <c r="O914" s="28">
        <v>0.05</v>
      </c>
      <c r="P914" s="28">
        <v>0.53</v>
      </c>
      <c r="Q914" s="28">
        <v>13.12</v>
      </c>
      <c r="R914" s="26"/>
      <c r="S914" s="26"/>
      <c r="T914" s="26"/>
      <c r="U914" s="26"/>
    </row>
    <row r="915" spans="1:21" x14ac:dyDescent="0.3">
      <c r="A915" s="26"/>
      <c r="B915" s="29">
        <v>44991</v>
      </c>
      <c r="C915" s="28" t="s">
        <v>12</v>
      </c>
      <c r="D915" s="28" t="s">
        <v>78</v>
      </c>
      <c r="E915" s="28" t="s">
        <v>48</v>
      </c>
      <c r="F915" s="28" t="s">
        <v>45</v>
      </c>
      <c r="G915" s="28" t="s">
        <v>30</v>
      </c>
      <c r="H915" s="28" t="s">
        <v>85</v>
      </c>
      <c r="I915" s="28">
        <v>5600</v>
      </c>
      <c r="J915" s="28">
        <v>60000</v>
      </c>
      <c r="K915" s="28">
        <v>1800</v>
      </c>
      <c r="L915" s="28">
        <v>90</v>
      </c>
      <c r="M915" s="28">
        <v>0.05</v>
      </c>
      <c r="N915" s="28">
        <v>22500</v>
      </c>
      <c r="O915" s="28">
        <v>0.03</v>
      </c>
      <c r="P915" s="28">
        <v>3.11</v>
      </c>
      <c r="Q915" s="28">
        <v>3.02</v>
      </c>
      <c r="R915" s="26"/>
      <c r="S915" s="26"/>
      <c r="T915" s="26"/>
      <c r="U915" s="26"/>
    </row>
    <row r="916" spans="1:21" x14ac:dyDescent="0.3">
      <c r="A916" s="26"/>
      <c r="B916" s="29">
        <v>45526</v>
      </c>
      <c r="C916" s="28" t="s">
        <v>11</v>
      </c>
      <c r="D916" s="28" t="s">
        <v>82</v>
      </c>
      <c r="E916" s="28" t="s">
        <v>47</v>
      </c>
      <c r="F916" s="28" t="s">
        <v>45</v>
      </c>
      <c r="G916" s="28" t="s">
        <v>30</v>
      </c>
      <c r="H916" s="28" t="s">
        <v>87</v>
      </c>
      <c r="I916" s="28">
        <v>5800</v>
      </c>
      <c r="J916" s="28">
        <v>62000</v>
      </c>
      <c r="K916" s="28">
        <v>1860</v>
      </c>
      <c r="L916" s="28">
        <v>93</v>
      </c>
      <c r="M916" s="28">
        <v>0.05</v>
      </c>
      <c r="N916" s="28">
        <v>23250</v>
      </c>
      <c r="O916" s="28">
        <v>0.03</v>
      </c>
      <c r="P916" s="28">
        <v>3.12</v>
      </c>
      <c r="Q916" s="28">
        <v>3.01</v>
      </c>
      <c r="R916" s="26"/>
      <c r="S916" s="26"/>
      <c r="T916" s="26"/>
      <c r="U916" s="26"/>
    </row>
    <row r="917" spans="1:21" x14ac:dyDescent="0.3">
      <c r="A917" s="26"/>
      <c r="B917" s="29">
        <v>45070</v>
      </c>
      <c r="C917" s="28" t="s">
        <v>11</v>
      </c>
      <c r="D917" s="28" t="s">
        <v>72</v>
      </c>
      <c r="E917" s="28" t="s">
        <v>47</v>
      </c>
      <c r="F917" s="28" t="s">
        <v>38</v>
      </c>
      <c r="G917" s="28" t="s">
        <v>31</v>
      </c>
      <c r="H917" s="28" t="s">
        <v>86</v>
      </c>
      <c r="I917" s="28">
        <v>2250</v>
      </c>
      <c r="J917" s="28">
        <v>74000</v>
      </c>
      <c r="K917" s="28">
        <v>3700</v>
      </c>
      <c r="L917" s="28">
        <v>185</v>
      </c>
      <c r="M917" s="28">
        <v>0.05</v>
      </c>
      <c r="N917" s="28">
        <v>27750</v>
      </c>
      <c r="O917" s="28">
        <v>0.05</v>
      </c>
      <c r="P917" s="28">
        <v>0.61</v>
      </c>
      <c r="Q917" s="28">
        <v>11.33</v>
      </c>
      <c r="R917" s="26"/>
      <c r="S917" s="26"/>
      <c r="T917" s="26"/>
      <c r="U917" s="26"/>
    </row>
    <row r="918" spans="1:21" x14ac:dyDescent="0.3">
      <c r="A918" s="26"/>
      <c r="B918" s="29">
        <v>45537</v>
      </c>
      <c r="C918" s="28" t="s">
        <v>12</v>
      </c>
      <c r="D918" s="28" t="s">
        <v>68</v>
      </c>
      <c r="E918" s="28" t="s">
        <v>47</v>
      </c>
      <c r="F918" s="28" t="s">
        <v>34</v>
      </c>
      <c r="G918" s="28" t="s">
        <v>31</v>
      </c>
      <c r="H918" s="28" t="s">
        <v>87</v>
      </c>
      <c r="I918" s="28">
        <v>2400</v>
      </c>
      <c r="J918" s="28">
        <v>76000</v>
      </c>
      <c r="K918" s="28">
        <v>3800</v>
      </c>
      <c r="L918" s="28">
        <v>190</v>
      </c>
      <c r="M918" s="28">
        <v>0.05</v>
      </c>
      <c r="N918" s="28">
        <v>28500</v>
      </c>
      <c r="O918" s="28">
        <v>0.05</v>
      </c>
      <c r="P918" s="28">
        <v>0.63</v>
      </c>
      <c r="Q918" s="28">
        <v>10.88</v>
      </c>
      <c r="R918" s="26"/>
      <c r="S918" s="26"/>
      <c r="T918" s="26"/>
      <c r="U918" s="26"/>
    </row>
    <row r="919" spans="1:21" x14ac:dyDescent="0.3">
      <c r="A919" s="26"/>
      <c r="B919" s="29">
        <v>45138</v>
      </c>
      <c r="C919" s="28" t="s">
        <v>11</v>
      </c>
      <c r="D919" s="28" t="s">
        <v>74</v>
      </c>
      <c r="E919" s="28" t="s">
        <v>49</v>
      </c>
      <c r="F919" s="28" t="s">
        <v>42</v>
      </c>
      <c r="G919" s="28" t="s">
        <v>30</v>
      </c>
      <c r="H919" s="28" t="s">
        <v>87</v>
      </c>
      <c r="I919" s="28">
        <v>5700</v>
      </c>
      <c r="J919" s="28">
        <v>59000</v>
      </c>
      <c r="K919" s="28">
        <v>1770</v>
      </c>
      <c r="L919" s="28">
        <v>88</v>
      </c>
      <c r="M919" s="28">
        <v>0.05</v>
      </c>
      <c r="N919" s="28">
        <v>22125</v>
      </c>
      <c r="O919" s="28">
        <v>0.03</v>
      </c>
      <c r="P919" s="28">
        <v>3.22</v>
      </c>
      <c r="Q919" s="28">
        <v>2.88</v>
      </c>
      <c r="R919" s="26"/>
      <c r="S919" s="26"/>
      <c r="T919" s="26"/>
      <c r="U919" s="26"/>
    </row>
    <row r="920" spans="1:21" x14ac:dyDescent="0.3">
      <c r="A920" s="26"/>
      <c r="B920" s="29">
        <v>45150</v>
      </c>
      <c r="C920" s="28" t="s">
        <v>11</v>
      </c>
      <c r="D920" s="28" t="s">
        <v>68</v>
      </c>
      <c r="E920" s="28" t="s">
        <v>47</v>
      </c>
      <c r="F920" s="28" t="s">
        <v>40</v>
      </c>
      <c r="G920" s="28" t="s">
        <v>31</v>
      </c>
      <c r="H920" s="28" t="s">
        <v>87</v>
      </c>
      <c r="I920" s="28">
        <v>3550</v>
      </c>
      <c r="J920" s="28">
        <v>107000</v>
      </c>
      <c r="K920" s="28">
        <v>5350</v>
      </c>
      <c r="L920" s="28">
        <v>268</v>
      </c>
      <c r="M920" s="28">
        <v>0.05</v>
      </c>
      <c r="N920" s="28">
        <v>40125</v>
      </c>
      <c r="O920" s="28">
        <v>0.05</v>
      </c>
      <c r="P920" s="28">
        <v>0.66</v>
      </c>
      <c r="Q920" s="28">
        <v>10.3</v>
      </c>
      <c r="R920" s="26"/>
      <c r="S920" s="26"/>
      <c r="T920" s="26"/>
      <c r="U920" s="26"/>
    </row>
    <row r="921" spans="1:21" x14ac:dyDescent="0.3">
      <c r="A921" s="26"/>
      <c r="B921" s="29">
        <v>45229</v>
      </c>
      <c r="C921" s="28" t="s">
        <v>12</v>
      </c>
      <c r="D921" s="28" t="s">
        <v>66</v>
      </c>
      <c r="E921" s="28" t="s">
        <v>48</v>
      </c>
      <c r="F921" s="28" t="s">
        <v>36</v>
      </c>
      <c r="G921" s="28" t="s">
        <v>31</v>
      </c>
      <c r="H921" s="28" t="s">
        <v>88</v>
      </c>
      <c r="I921" s="28">
        <v>2150</v>
      </c>
      <c r="J921" s="28">
        <v>71000</v>
      </c>
      <c r="K921" s="28">
        <v>3550</v>
      </c>
      <c r="L921" s="28">
        <v>178</v>
      </c>
      <c r="M921" s="28">
        <v>0.05</v>
      </c>
      <c r="N921" s="28">
        <v>26625</v>
      </c>
      <c r="O921" s="28">
        <v>0.05</v>
      </c>
      <c r="P921" s="28">
        <v>0.61</v>
      </c>
      <c r="Q921" s="28">
        <v>11.38</v>
      </c>
      <c r="R921" s="26"/>
      <c r="S921" s="26"/>
      <c r="T921" s="26"/>
      <c r="U921" s="26"/>
    </row>
    <row r="922" spans="1:21" x14ac:dyDescent="0.3">
      <c r="A922" s="26"/>
      <c r="B922" s="29">
        <v>45033</v>
      </c>
      <c r="C922" s="28" t="s">
        <v>11</v>
      </c>
      <c r="D922" s="28" t="s">
        <v>81</v>
      </c>
      <c r="E922" s="28" t="s">
        <v>48</v>
      </c>
      <c r="F922" s="28" t="s">
        <v>45</v>
      </c>
      <c r="G922" s="28" t="s">
        <v>32</v>
      </c>
      <c r="H922" s="28" t="s">
        <v>86</v>
      </c>
      <c r="I922" s="28">
        <v>3700</v>
      </c>
      <c r="J922" s="28">
        <v>115000</v>
      </c>
      <c r="K922" s="28">
        <v>4600</v>
      </c>
      <c r="L922" s="28">
        <v>230</v>
      </c>
      <c r="M922" s="28">
        <v>0.05</v>
      </c>
      <c r="N922" s="28">
        <v>34500</v>
      </c>
      <c r="O922" s="28">
        <v>0.04</v>
      </c>
      <c r="P922" s="28">
        <v>0.8</v>
      </c>
      <c r="Q922" s="28">
        <v>8.32</v>
      </c>
      <c r="R922" s="26"/>
      <c r="S922" s="26"/>
      <c r="T922" s="26"/>
      <c r="U922" s="26"/>
    </row>
    <row r="923" spans="1:21" x14ac:dyDescent="0.3">
      <c r="A923" s="26"/>
      <c r="B923" s="29">
        <v>44990</v>
      </c>
      <c r="C923" s="28" t="s">
        <v>11</v>
      </c>
      <c r="D923" s="28" t="s">
        <v>83</v>
      </c>
      <c r="E923" s="28" t="s">
        <v>49</v>
      </c>
      <c r="F923" s="28" t="s">
        <v>39</v>
      </c>
      <c r="G923" s="28" t="s">
        <v>33</v>
      </c>
      <c r="H923" s="28" t="s">
        <v>85</v>
      </c>
      <c r="I923" s="28">
        <v>2950</v>
      </c>
      <c r="J923" s="28">
        <v>88000</v>
      </c>
      <c r="K923" s="28">
        <v>3520</v>
      </c>
      <c r="L923" s="28">
        <v>176</v>
      </c>
      <c r="M923" s="28">
        <v>0.05</v>
      </c>
      <c r="N923" s="28">
        <v>26400</v>
      </c>
      <c r="O923" s="28">
        <v>0.04</v>
      </c>
      <c r="P923" s="28">
        <v>0.84</v>
      </c>
      <c r="Q923" s="28">
        <v>7.95</v>
      </c>
      <c r="R923" s="26"/>
      <c r="S923" s="26"/>
      <c r="T923" s="26"/>
      <c r="U923" s="26"/>
    </row>
    <row r="924" spans="1:21" x14ac:dyDescent="0.3">
      <c r="A924" s="26"/>
      <c r="B924" s="29">
        <v>45260</v>
      </c>
      <c r="C924" s="28" t="s">
        <v>11</v>
      </c>
      <c r="D924" s="28" t="s">
        <v>84</v>
      </c>
      <c r="E924" s="28" t="s">
        <v>48</v>
      </c>
      <c r="F924" s="28" t="s">
        <v>36</v>
      </c>
      <c r="G924" s="28" t="s">
        <v>31</v>
      </c>
      <c r="H924" s="28" t="s">
        <v>88</v>
      </c>
      <c r="I924" s="28">
        <v>2850</v>
      </c>
      <c r="J924" s="28">
        <v>86000</v>
      </c>
      <c r="K924" s="28">
        <v>4300</v>
      </c>
      <c r="L924" s="28">
        <v>215</v>
      </c>
      <c r="M924" s="28">
        <v>0.05</v>
      </c>
      <c r="N924" s="28">
        <v>32250</v>
      </c>
      <c r="O924" s="28">
        <v>0.05</v>
      </c>
      <c r="P924" s="28">
        <v>0.66</v>
      </c>
      <c r="Q924" s="28">
        <v>10.32</v>
      </c>
      <c r="R924" s="26"/>
      <c r="S924" s="26"/>
      <c r="T924" s="26"/>
      <c r="U924" s="26"/>
    </row>
    <row r="925" spans="1:21" x14ac:dyDescent="0.3">
      <c r="A925" s="26"/>
      <c r="B925" s="29">
        <v>45308</v>
      </c>
      <c r="C925" s="28" t="s">
        <v>12</v>
      </c>
      <c r="D925" s="28" t="s">
        <v>80</v>
      </c>
      <c r="E925" s="28" t="s">
        <v>48</v>
      </c>
      <c r="F925" s="28" t="s">
        <v>41</v>
      </c>
      <c r="G925" s="28" t="s">
        <v>33</v>
      </c>
      <c r="H925" s="28" t="s">
        <v>85</v>
      </c>
      <c r="I925" s="28">
        <v>2350</v>
      </c>
      <c r="J925" s="28">
        <v>75000</v>
      </c>
      <c r="K925" s="28">
        <v>3750</v>
      </c>
      <c r="L925" s="28">
        <v>188</v>
      </c>
      <c r="M925" s="28">
        <v>0.05</v>
      </c>
      <c r="N925" s="28">
        <v>28125</v>
      </c>
      <c r="O925" s="28">
        <v>0.05</v>
      </c>
      <c r="P925" s="28">
        <v>0.63</v>
      </c>
      <c r="Q925" s="28">
        <v>10.97</v>
      </c>
      <c r="R925" s="26"/>
      <c r="S925" s="26"/>
      <c r="T925" s="26"/>
      <c r="U925" s="26"/>
    </row>
    <row r="926" spans="1:21" x14ac:dyDescent="0.3">
      <c r="A926" s="26"/>
      <c r="B926" s="29">
        <v>45153</v>
      </c>
      <c r="C926" s="28" t="s">
        <v>12</v>
      </c>
      <c r="D926" s="28" t="s">
        <v>70</v>
      </c>
      <c r="E926" s="28" t="s">
        <v>49</v>
      </c>
      <c r="F926" s="28" t="s">
        <v>41</v>
      </c>
      <c r="G926" s="28" t="s">
        <v>32</v>
      </c>
      <c r="H926" s="28" t="s">
        <v>87</v>
      </c>
      <c r="I926" s="28">
        <v>2850</v>
      </c>
      <c r="J926" s="28">
        <v>91000</v>
      </c>
      <c r="K926" s="28">
        <v>3640</v>
      </c>
      <c r="L926" s="28">
        <v>182</v>
      </c>
      <c r="M926" s="28">
        <v>0.05</v>
      </c>
      <c r="N926" s="28">
        <v>27300</v>
      </c>
      <c r="O926" s="28">
        <v>0.04</v>
      </c>
      <c r="P926" s="28">
        <v>0.78</v>
      </c>
      <c r="Q926" s="28">
        <v>8.58</v>
      </c>
      <c r="R926" s="26"/>
      <c r="S926" s="26"/>
      <c r="T926" s="26"/>
      <c r="U926" s="26"/>
    </row>
    <row r="927" spans="1:21" x14ac:dyDescent="0.3">
      <c r="A927" s="26"/>
      <c r="B927" s="29">
        <v>45432</v>
      </c>
      <c r="C927" s="28" t="s">
        <v>11</v>
      </c>
      <c r="D927" s="28" t="s">
        <v>65</v>
      </c>
      <c r="E927" s="28" t="s">
        <v>47</v>
      </c>
      <c r="F927" s="28" t="s">
        <v>41</v>
      </c>
      <c r="G927" s="28" t="s">
        <v>33</v>
      </c>
      <c r="H927" s="28" t="s">
        <v>86</v>
      </c>
      <c r="I927" s="28">
        <v>3000</v>
      </c>
      <c r="J927" s="28">
        <v>91000</v>
      </c>
      <c r="K927" s="28">
        <v>3640</v>
      </c>
      <c r="L927" s="28">
        <v>182</v>
      </c>
      <c r="M927" s="28">
        <v>0.05</v>
      </c>
      <c r="N927" s="28">
        <v>27300</v>
      </c>
      <c r="O927" s="28">
        <v>0.04</v>
      </c>
      <c r="P927" s="28">
        <v>0.82</v>
      </c>
      <c r="Q927" s="28">
        <v>8.1</v>
      </c>
      <c r="R927" s="26"/>
      <c r="S927" s="26"/>
      <c r="T927" s="26"/>
      <c r="U927" s="26"/>
    </row>
    <row r="928" spans="1:21" x14ac:dyDescent="0.3">
      <c r="A928" s="26"/>
      <c r="B928" s="29">
        <v>45537</v>
      </c>
      <c r="C928" s="28" t="s">
        <v>10</v>
      </c>
      <c r="D928" s="28" t="s">
        <v>70</v>
      </c>
      <c r="E928" s="28" t="s">
        <v>49</v>
      </c>
      <c r="F928" s="28" t="s">
        <v>45</v>
      </c>
      <c r="G928" s="28" t="s">
        <v>31</v>
      </c>
      <c r="H928" s="28" t="s">
        <v>87</v>
      </c>
      <c r="I928" s="28">
        <v>6050</v>
      </c>
      <c r="J928" s="28">
        <v>182000</v>
      </c>
      <c r="K928" s="28">
        <v>9100</v>
      </c>
      <c r="L928" s="28">
        <v>455</v>
      </c>
      <c r="M928" s="28">
        <v>0.05</v>
      </c>
      <c r="N928" s="28">
        <v>68250</v>
      </c>
      <c r="O928" s="28">
        <v>0.05</v>
      </c>
      <c r="P928" s="28">
        <v>0.66</v>
      </c>
      <c r="Q928" s="28">
        <v>10.28</v>
      </c>
      <c r="R928" s="26"/>
      <c r="S928" s="26"/>
      <c r="T928" s="26"/>
      <c r="U928" s="26"/>
    </row>
    <row r="929" spans="1:21" x14ac:dyDescent="0.3">
      <c r="A929" s="26"/>
      <c r="B929" s="29">
        <v>45330</v>
      </c>
      <c r="C929" s="28" t="s">
        <v>12</v>
      </c>
      <c r="D929" s="28" t="s">
        <v>82</v>
      </c>
      <c r="E929" s="28" t="s">
        <v>47</v>
      </c>
      <c r="F929" s="28" t="s">
        <v>36</v>
      </c>
      <c r="G929" s="28" t="s">
        <v>31</v>
      </c>
      <c r="H929" s="28" t="s">
        <v>85</v>
      </c>
      <c r="I929" s="28">
        <v>2050</v>
      </c>
      <c r="J929" s="28">
        <v>71000</v>
      </c>
      <c r="K929" s="28">
        <v>3550</v>
      </c>
      <c r="L929" s="28">
        <v>178</v>
      </c>
      <c r="M929" s="28">
        <v>0.05</v>
      </c>
      <c r="N929" s="28">
        <v>26625</v>
      </c>
      <c r="O929" s="28">
        <v>0.05</v>
      </c>
      <c r="P929" s="28">
        <v>0.57999999999999996</v>
      </c>
      <c r="Q929" s="28">
        <v>11.99</v>
      </c>
      <c r="R929" s="26"/>
      <c r="S929" s="26"/>
      <c r="T929" s="26"/>
      <c r="U929" s="26"/>
    </row>
    <row r="930" spans="1:21" x14ac:dyDescent="0.3">
      <c r="A930" s="26"/>
      <c r="B930" s="29">
        <v>45054</v>
      </c>
      <c r="C930" s="28" t="s">
        <v>13</v>
      </c>
      <c r="D930" s="28" t="s">
        <v>65</v>
      </c>
      <c r="E930" s="28" t="s">
        <v>47</v>
      </c>
      <c r="F930" s="28" t="s">
        <v>36</v>
      </c>
      <c r="G930" s="28" t="s">
        <v>30</v>
      </c>
      <c r="H930" s="28" t="s">
        <v>86</v>
      </c>
      <c r="I930" s="28">
        <v>5600</v>
      </c>
      <c r="J930" s="28">
        <v>60000</v>
      </c>
      <c r="K930" s="28">
        <v>1800</v>
      </c>
      <c r="L930" s="28">
        <v>90</v>
      </c>
      <c r="M930" s="28">
        <v>0.05</v>
      </c>
      <c r="N930" s="28">
        <v>22500</v>
      </c>
      <c r="O930" s="28">
        <v>0.03</v>
      </c>
      <c r="P930" s="28">
        <v>3.11</v>
      </c>
      <c r="Q930" s="28">
        <v>3.02</v>
      </c>
      <c r="R930" s="26"/>
      <c r="S930" s="26"/>
      <c r="T930" s="26"/>
      <c r="U930" s="26"/>
    </row>
    <row r="931" spans="1:21" x14ac:dyDescent="0.3">
      <c r="A931" s="26"/>
      <c r="B931" s="29">
        <v>45281</v>
      </c>
      <c r="C931" s="28" t="s">
        <v>11</v>
      </c>
      <c r="D931" s="28" t="s">
        <v>65</v>
      </c>
      <c r="E931" s="28" t="s">
        <v>47</v>
      </c>
      <c r="F931" s="28" t="s">
        <v>34</v>
      </c>
      <c r="G931" s="28" t="s">
        <v>31</v>
      </c>
      <c r="H931" s="28" t="s">
        <v>88</v>
      </c>
      <c r="I931" s="28">
        <v>2750</v>
      </c>
      <c r="J931" s="28">
        <v>84000</v>
      </c>
      <c r="K931" s="28">
        <v>4200</v>
      </c>
      <c r="L931" s="28">
        <v>210</v>
      </c>
      <c r="M931" s="28">
        <v>0.05</v>
      </c>
      <c r="N931" s="28">
        <v>31500</v>
      </c>
      <c r="O931" s="28">
        <v>0.05</v>
      </c>
      <c r="P931" s="28">
        <v>0.65</v>
      </c>
      <c r="Q931" s="28">
        <v>10.45</v>
      </c>
      <c r="R931" s="26"/>
      <c r="S931" s="26"/>
      <c r="T931" s="26"/>
      <c r="U931" s="26"/>
    </row>
    <row r="932" spans="1:21" x14ac:dyDescent="0.3">
      <c r="A932" s="26"/>
      <c r="B932" s="29">
        <v>45237</v>
      </c>
      <c r="C932" s="28" t="s">
        <v>10</v>
      </c>
      <c r="D932" s="28" t="s">
        <v>79</v>
      </c>
      <c r="E932" s="28" t="s">
        <v>47</v>
      </c>
      <c r="F932" s="28" t="s">
        <v>45</v>
      </c>
      <c r="G932" s="28" t="s">
        <v>31</v>
      </c>
      <c r="H932" s="28" t="s">
        <v>88</v>
      </c>
      <c r="I932" s="28">
        <v>2450</v>
      </c>
      <c r="J932" s="28">
        <v>77000</v>
      </c>
      <c r="K932" s="28">
        <v>3850</v>
      </c>
      <c r="L932" s="28">
        <v>192</v>
      </c>
      <c r="M932" s="28">
        <v>0.05</v>
      </c>
      <c r="N932" s="28">
        <v>28875</v>
      </c>
      <c r="O932" s="28">
        <v>0.05</v>
      </c>
      <c r="P932" s="28">
        <v>0.64</v>
      </c>
      <c r="Q932" s="28">
        <v>10.79</v>
      </c>
      <c r="R932" s="26"/>
      <c r="S932" s="26"/>
      <c r="T932" s="26"/>
      <c r="U932" s="26"/>
    </row>
    <row r="933" spans="1:21" x14ac:dyDescent="0.3">
      <c r="A933" s="26"/>
      <c r="B933" s="29">
        <v>45338</v>
      </c>
      <c r="C933" s="28" t="s">
        <v>11</v>
      </c>
      <c r="D933" s="28" t="s">
        <v>77</v>
      </c>
      <c r="E933" s="28" t="s">
        <v>49</v>
      </c>
      <c r="F933" s="28" t="s">
        <v>44</v>
      </c>
      <c r="G933" s="28" t="s">
        <v>30</v>
      </c>
      <c r="H933" s="28" t="s">
        <v>85</v>
      </c>
      <c r="I933" s="28">
        <v>6700</v>
      </c>
      <c r="J933" s="28">
        <v>70000</v>
      </c>
      <c r="K933" s="28">
        <v>2100</v>
      </c>
      <c r="L933" s="28">
        <v>105</v>
      </c>
      <c r="M933" s="28">
        <v>0.05</v>
      </c>
      <c r="N933" s="28">
        <v>26250</v>
      </c>
      <c r="O933" s="28">
        <v>0.03</v>
      </c>
      <c r="P933" s="28">
        <v>3.19</v>
      </c>
      <c r="Q933" s="28">
        <v>2.92</v>
      </c>
      <c r="R933" s="26"/>
      <c r="S933" s="26"/>
      <c r="T933" s="26"/>
      <c r="U933" s="26"/>
    </row>
    <row r="934" spans="1:21" x14ac:dyDescent="0.3">
      <c r="A934" s="26"/>
      <c r="B934" s="29">
        <v>45348</v>
      </c>
      <c r="C934" s="28" t="s">
        <v>11</v>
      </c>
      <c r="D934" s="28" t="s">
        <v>70</v>
      </c>
      <c r="E934" s="28" t="s">
        <v>49</v>
      </c>
      <c r="F934" s="28" t="s">
        <v>36</v>
      </c>
      <c r="G934" s="28" t="s">
        <v>30</v>
      </c>
      <c r="H934" s="28" t="s">
        <v>85</v>
      </c>
      <c r="I934" s="28">
        <v>5500</v>
      </c>
      <c r="J934" s="28">
        <v>59000</v>
      </c>
      <c r="K934" s="28">
        <v>1770</v>
      </c>
      <c r="L934" s="28">
        <v>88</v>
      </c>
      <c r="M934" s="28">
        <v>0.05</v>
      </c>
      <c r="N934" s="28">
        <v>22125</v>
      </c>
      <c r="O934" s="28">
        <v>0.03</v>
      </c>
      <c r="P934" s="28">
        <v>3.11</v>
      </c>
      <c r="Q934" s="28">
        <v>3.02</v>
      </c>
      <c r="R934" s="26"/>
      <c r="S934" s="26"/>
      <c r="T934" s="26"/>
      <c r="U934" s="26"/>
    </row>
    <row r="935" spans="1:21" x14ac:dyDescent="0.3">
      <c r="A935" s="26"/>
      <c r="B935" s="29">
        <v>45315</v>
      </c>
      <c r="C935" s="28" t="s">
        <v>12</v>
      </c>
      <c r="D935" s="28" t="s">
        <v>79</v>
      </c>
      <c r="E935" s="28" t="s">
        <v>47</v>
      </c>
      <c r="F935" s="28" t="s">
        <v>38</v>
      </c>
      <c r="G935" s="28" t="s">
        <v>30</v>
      </c>
      <c r="H935" s="28" t="s">
        <v>85</v>
      </c>
      <c r="I935" s="28">
        <v>4900</v>
      </c>
      <c r="J935" s="28">
        <v>53000</v>
      </c>
      <c r="K935" s="28">
        <v>1590</v>
      </c>
      <c r="L935" s="28">
        <v>80</v>
      </c>
      <c r="M935" s="28">
        <v>0.05</v>
      </c>
      <c r="N935" s="28">
        <v>19875</v>
      </c>
      <c r="O935" s="28">
        <v>0.03</v>
      </c>
      <c r="P935" s="28">
        <v>3.08</v>
      </c>
      <c r="Q935" s="28">
        <v>3.06</v>
      </c>
      <c r="R935" s="26"/>
      <c r="S935" s="26"/>
      <c r="T935" s="26"/>
      <c r="U935" s="26"/>
    </row>
    <row r="936" spans="1:21" x14ac:dyDescent="0.3">
      <c r="A936" s="26"/>
      <c r="B936" s="29">
        <v>44936</v>
      </c>
      <c r="C936" s="28" t="s">
        <v>10</v>
      </c>
      <c r="D936" s="28" t="s">
        <v>80</v>
      </c>
      <c r="E936" s="28" t="s">
        <v>48</v>
      </c>
      <c r="F936" s="28" t="s">
        <v>41</v>
      </c>
      <c r="G936" s="28" t="s">
        <v>31</v>
      </c>
      <c r="H936" s="28" t="s">
        <v>85</v>
      </c>
      <c r="I936" s="28">
        <v>1650</v>
      </c>
      <c r="J936" s="28">
        <v>62000</v>
      </c>
      <c r="K936" s="28">
        <v>3100</v>
      </c>
      <c r="L936" s="28">
        <v>155</v>
      </c>
      <c r="M936" s="28">
        <v>0.05</v>
      </c>
      <c r="N936" s="28">
        <v>23250</v>
      </c>
      <c r="O936" s="28">
        <v>0.05</v>
      </c>
      <c r="P936" s="28">
        <v>0.53</v>
      </c>
      <c r="Q936" s="28">
        <v>13.09</v>
      </c>
      <c r="R936" s="26"/>
      <c r="S936" s="26"/>
      <c r="T936" s="26"/>
      <c r="U936" s="26"/>
    </row>
    <row r="937" spans="1:21" x14ac:dyDescent="0.3">
      <c r="A937" s="26"/>
      <c r="B937" s="29">
        <v>44943</v>
      </c>
      <c r="C937" s="28" t="s">
        <v>12</v>
      </c>
      <c r="D937" s="28" t="s">
        <v>65</v>
      </c>
      <c r="E937" s="28" t="s">
        <v>47</v>
      </c>
      <c r="F937" s="28" t="s">
        <v>41</v>
      </c>
      <c r="G937" s="28" t="s">
        <v>32</v>
      </c>
      <c r="H937" s="28" t="s">
        <v>85</v>
      </c>
      <c r="I937" s="28">
        <v>3250</v>
      </c>
      <c r="J937" s="28">
        <v>102000</v>
      </c>
      <c r="K937" s="28">
        <v>4080</v>
      </c>
      <c r="L937" s="28">
        <v>204</v>
      </c>
      <c r="M937" s="28">
        <v>0.05</v>
      </c>
      <c r="N937" s="28">
        <v>30600</v>
      </c>
      <c r="O937" s="28">
        <v>0.04</v>
      </c>
      <c r="P937" s="28">
        <v>0.8</v>
      </c>
      <c r="Q937" s="28">
        <v>8.42</v>
      </c>
      <c r="R937" s="26"/>
      <c r="S937" s="26"/>
      <c r="T937" s="26"/>
      <c r="U937" s="26"/>
    </row>
    <row r="938" spans="1:21" x14ac:dyDescent="0.3">
      <c r="A938" s="26"/>
      <c r="B938" s="29">
        <v>44950</v>
      </c>
      <c r="C938" s="28" t="s">
        <v>10</v>
      </c>
      <c r="D938" s="28" t="s">
        <v>71</v>
      </c>
      <c r="E938" s="28" t="s">
        <v>48</v>
      </c>
      <c r="F938" s="28" t="s">
        <v>42</v>
      </c>
      <c r="G938" s="28" t="s">
        <v>33</v>
      </c>
      <c r="H938" s="28" t="s">
        <v>85</v>
      </c>
      <c r="I938" s="28">
        <v>2650</v>
      </c>
      <c r="J938" s="28">
        <v>82000</v>
      </c>
      <c r="K938" s="28">
        <v>3280</v>
      </c>
      <c r="L938" s="28">
        <v>164</v>
      </c>
      <c r="M938" s="28">
        <v>0.05</v>
      </c>
      <c r="N938" s="28">
        <v>24600</v>
      </c>
      <c r="O938" s="28">
        <v>0.04</v>
      </c>
      <c r="P938" s="28">
        <v>0.81</v>
      </c>
      <c r="Q938" s="28">
        <v>8.2799999999999994</v>
      </c>
      <c r="R938" s="26"/>
      <c r="S938" s="26"/>
      <c r="T938" s="26"/>
      <c r="U938" s="26"/>
    </row>
    <row r="939" spans="1:21" x14ac:dyDescent="0.3">
      <c r="A939" s="26"/>
      <c r="B939" s="29">
        <v>44957</v>
      </c>
      <c r="C939" s="28" t="s">
        <v>10</v>
      </c>
      <c r="D939" s="28" t="s">
        <v>78</v>
      </c>
      <c r="E939" s="28" t="s">
        <v>48</v>
      </c>
      <c r="F939" s="28" t="s">
        <v>36</v>
      </c>
      <c r="G939" s="28" t="s">
        <v>30</v>
      </c>
      <c r="H939" s="28" t="s">
        <v>85</v>
      </c>
      <c r="I939" s="28">
        <v>5400</v>
      </c>
      <c r="J939" s="28">
        <v>58000</v>
      </c>
      <c r="K939" s="28">
        <v>1740</v>
      </c>
      <c r="L939" s="28">
        <v>87</v>
      </c>
      <c r="M939" s="28">
        <v>0.05</v>
      </c>
      <c r="N939" s="28">
        <v>21750</v>
      </c>
      <c r="O939" s="28">
        <v>0.03</v>
      </c>
      <c r="P939" s="28">
        <v>3.1</v>
      </c>
      <c r="Q939" s="28">
        <v>3.03</v>
      </c>
      <c r="R939" s="26"/>
      <c r="S939" s="26"/>
      <c r="T939" s="26"/>
      <c r="U939" s="26"/>
    </row>
    <row r="940" spans="1:21" x14ac:dyDescent="0.3">
      <c r="A940" s="26"/>
      <c r="B940" s="29">
        <v>44964</v>
      </c>
      <c r="C940" s="28" t="s">
        <v>12</v>
      </c>
      <c r="D940" s="28" t="s">
        <v>75</v>
      </c>
      <c r="E940" s="28" t="s">
        <v>47</v>
      </c>
      <c r="F940" s="28" t="s">
        <v>36</v>
      </c>
      <c r="G940" s="28" t="s">
        <v>33</v>
      </c>
      <c r="H940" s="28" t="s">
        <v>85</v>
      </c>
      <c r="I940" s="28">
        <v>3050</v>
      </c>
      <c r="J940" s="28">
        <v>94000</v>
      </c>
      <c r="K940" s="28">
        <v>3760</v>
      </c>
      <c r="L940" s="28">
        <v>188</v>
      </c>
      <c r="M940" s="28">
        <v>0.05</v>
      </c>
      <c r="N940" s="28">
        <v>28200</v>
      </c>
      <c r="O940" s="28">
        <v>0.04</v>
      </c>
      <c r="P940" s="28">
        <v>0.81</v>
      </c>
      <c r="Q940" s="28">
        <v>8.25</v>
      </c>
      <c r="R940" s="26"/>
      <c r="S940" s="26"/>
      <c r="T940" s="26"/>
      <c r="U940" s="26"/>
    </row>
    <row r="941" spans="1:21" x14ac:dyDescent="0.3">
      <c r="A941" s="26"/>
      <c r="B941" s="29">
        <v>44971</v>
      </c>
      <c r="C941" s="28" t="s">
        <v>10</v>
      </c>
      <c r="D941" s="28" t="s">
        <v>65</v>
      </c>
      <c r="E941" s="28" t="s">
        <v>47</v>
      </c>
      <c r="F941" s="28" t="s">
        <v>45</v>
      </c>
      <c r="G941" s="28" t="s">
        <v>31</v>
      </c>
      <c r="H941" s="28" t="s">
        <v>85</v>
      </c>
      <c r="I941" s="28">
        <v>2350</v>
      </c>
      <c r="J941" s="28">
        <v>75000</v>
      </c>
      <c r="K941" s="28">
        <v>3750</v>
      </c>
      <c r="L941" s="28">
        <v>188</v>
      </c>
      <c r="M941" s="28">
        <v>0.05</v>
      </c>
      <c r="N941" s="28">
        <v>28125</v>
      </c>
      <c r="O941" s="28">
        <v>0.05</v>
      </c>
      <c r="P941" s="28">
        <v>0.63</v>
      </c>
      <c r="Q941" s="28">
        <v>10.97</v>
      </c>
      <c r="R941" s="26"/>
      <c r="S941" s="26"/>
      <c r="T941" s="26"/>
      <c r="U941" s="26"/>
    </row>
    <row r="942" spans="1:21" x14ac:dyDescent="0.3">
      <c r="A942" s="26"/>
      <c r="B942" s="29">
        <v>44978</v>
      </c>
      <c r="C942" s="28" t="s">
        <v>12</v>
      </c>
      <c r="D942" s="28" t="s">
        <v>82</v>
      </c>
      <c r="E942" s="28" t="s">
        <v>47</v>
      </c>
      <c r="F942" s="28" t="s">
        <v>34</v>
      </c>
      <c r="G942" s="28" t="s">
        <v>32</v>
      </c>
      <c r="H942" s="28" t="s">
        <v>85</v>
      </c>
      <c r="I942" s="28">
        <v>3750</v>
      </c>
      <c r="J942" s="28">
        <v>117000</v>
      </c>
      <c r="K942" s="28">
        <v>4680</v>
      </c>
      <c r="L942" s="28">
        <v>234</v>
      </c>
      <c r="M942" s="28">
        <v>0.05</v>
      </c>
      <c r="N942" s="28">
        <v>35100</v>
      </c>
      <c r="O942" s="28">
        <v>0.04</v>
      </c>
      <c r="P942" s="28">
        <v>0.8</v>
      </c>
      <c r="Q942" s="28">
        <v>8.36</v>
      </c>
      <c r="R942" s="26"/>
      <c r="S942" s="26"/>
      <c r="T942" s="26"/>
      <c r="U942" s="26"/>
    </row>
    <row r="943" spans="1:21" x14ac:dyDescent="0.3">
      <c r="A943" s="26"/>
      <c r="B943" s="29">
        <v>44985</v>
      </c>
      <c r="C943" s="28" t="s">
        <v>12</v>
      </c>
      <c r="D943" s="28" t="s">
        <v>69</v>
      </c>
      <c r="E943" s="28" t="s">
        <v>47</v>
      </c>
      <c r="F943" s="28" t="s">
        <v>41</v>
      </c>
      <c r="G943" s="28" t="s">
        <v>31</v>
      </c>
      <c r="H943" s="28" t="s">
        <v>85</v>
      </c>
      <c r="I943" s="28">
        <v>2550</v>
      </c>
      <c r="J943" s="28">
        <v>79000</v>
      </c>
      <c r="K943" s="28">
        <v>3950</v>
      </c>
      <c r="L943" s="28">
        <v>198</v>
      </c>
      <c r="M943" s="28">
        <v>0.05</v>
      </c>
      <c r="N943" s="28">
        <v>29625</v>
      </c>
      <c r="O943" s="28">
        <v>0.05</v>
      </c>
      <c r="P943" s="28">
        <v>0.65</v>
      </c>
      <c r="Q943" s="28">
        <v>10.62</v>
      </c>
      <c r="R943" s="26"/>
      <c r="S943" s="26"/>
      <c r="T943" s="26"/>
      <c r="U943" s="26"/>
    </row>
    <row r="944" spans="1:21" x14ac:dyDescent="0.3">
      <c r="A944" s="26"/>
      <c r="B944" s="29">
        <v>44992</v>
      </c>
      <c r="C944" s="28" t="s">
        <v>13</v>
      </c>
      <c r="D944" s="28" t="s">
        <v>77</v>
      </c>
      <c r="E944" s="28" t="s">
        <v>49</v>
      </c>
      <c r="F944" s="28" t="s">
        <v>42</v>
      </c>
      <c r="G944" s="28" t="s">
        <v>30</v>
      </c>
      <c r="H944" s="28" t="s">
        <v>85</v>
      </c>
      <c r="I944" s="28">
        <v>5800</v>
      </c>
      <c r="J944" s="28">
        <v>61000</v>
      </c>
      <c r="K944" s="28">
        <v>1830</v>
      </c>
      <c r="L944" s="28">
        <v>92</v>
      </c>
      <c r="M944" s="28">
        <v>0.05</v>
      </c>
      <c r="N944" s="28">
        <v>22875</v>
      </c>
      <c r="O944" s="28">
        <v>0.03</v>
      </c>
      <c r="P944" s="28">
        <v>3.17</v>
      </c>
      <c r="Q944" s="28">
        <v>2.94</v>
      </c>
      <c r="R944" s="26"/>
      <c r="S944" s="26"/>
      <c r="T944" s="26"/>
      <c r="U944" s="26"/>
    </row>
    <row r="945" spans="1:21" x14ac:dyDescent="0.3">
      <c r="A945" s="26"/>
      <c r="B945" s="29">
        <v>44999</v>
      </c>
      <c r="C945" s="28" t="s">
        <v>13</v>
      </c>
      <c r="D945" s="28" t="s">
        <v>73</v>
      </c>
      <c r="E945" s="28" t="s">
        <v>47</v>
      </c>
      <c r="F945" s="28" t="s">
        <v>34</v>
      </c>
      <c r="G945" s="28" t="s">
        <v>33</v>
      </c>
      <c r="H945" s="28" t="s">
        <v>85</v>
      </c>
      <c r="I945" s="28">
        <v>3350</v>
      </c>
      <c r="J945" s="28">
        <v>102000</v>
      </c>
      <c r="K945" s="28">
        <v>4080</v>
      </c>
      <c r="L945" s="28">
        <v>204</v>
      </c>
      <c r="M945" s="28">
        <v>0.05</v>
      </c>
      <c r="N945" s="28">
        <v>30600</v>
      </c>
      <c r="O945" s="28">
        <v>0.04</v>
      </c>
      <c r="P945" s="28">
        <v>0.82</v>
      </c>
      <c r="Q945" s="28">
        <v>8.1300000000000008</v>
      </c>
      <c r="R945" s="26"/>
      <c r="S945" s="26"/>
      <c r="T945" s="26"/>
      <c r="U945" s="26"/>
    </row>
    <row r="946" spans="1:21" x14ac:dyDescent="0.3">
      <c r="A946" s="26"/>
      <c r="B946" s="29">
        <v>45006</v>
      </c>
      <c r="C946" s="28" t="s">
        <v>12</v>
      </c>
      <c r="D946" s="28" t="s">
        <v>78</v>
      </c>
      <c r="E946" s="28" t="s">
        <v>48</v>
      </c>
      <c r="F946" s="28" t="s">
        <v>45</v>
      </c>
      <c r="G946" s="28" t="s">
        <v>31</v>
      </c>
      <c r="H946" s="28" t="s">
        <v>85</v>
      </c>
      <c r="I946" s="28">
        <v>2750</v>
      </c>
      <c r="J946" s="28">
        <v>84000</v>
      </c>
      <c r="K946" s="28">
        <v>4200</v>
      </c>
      <c r="L946" s="28">
        <v>210</v>
      </c>
      <c r="M946" s="28">
        <v>0.05</v>
      </c>
      <c r="N946" s="28">
        <v>31500</v>
      </c>
      <c r="O946" s="28">
        <v>0.05</v>
      </c>
      <c r="P946" s="28">
        <v>0.65</v>
      </c>
      <c r="Q946" s="28">
        <v>10.45</v>
      </c>
      <c r="R946" s="26"/>
      <c r="S946" s="26"/>
      <c r="T946" s="26"/>
      <c r="U946" s="26"/>
    </row>
    <row r="947" spans="1:21" x14ac:dyDescent="0.3">
      <c r="A947" s="26"/>
      <c r="B947" s="29">
        <v>45013</v>
      </c>
      <c r="C947" s="28" t="s">
        <v>12</v>
      </c>
      <c r="D947" s="28" t="s">
        <v>70</v>
      </c>
      <c r="E947" s="28" t="s">
        <v>49</v>
      </c>
      <c r="F947" s="28" t="s">
        <v>39</v>
      </c>
      <c r="G947" s="28" t="s">
        <v>32</v>
      </c>
      <c r="H947" s="28" t="s">
        <v>86</v>
      </c>
      <c r="I947" s="28">
        <v>4050</v>
      </c>
      <c r="J947" s="28">
        <v>125000</v>
      </c>
      <c r="K947" s="28">
        <v>5000</v>
      </c>
      <c r="L947" s="28">
        <v>250</v>
      </c>
      <c r="M947" s="28">
        <v>0.05</v>
      </c>
      <c r="N947" s="28">
        <v>37500</v>
      </c>
      <c r="O947" s="28">
        <v>0.04</v>
      </c>
      <c r="P947" s="28">
        <v>0.81</v>
      </c>
      <c r="Q947" s="28">
        <v>8.26</v>
      </c>
      <c r="R947" s="26"/>
      <c r="S947" s="26"/>
      <c r="T947" s="26"/>
      <c r="U947" s="26"/>
    </row>
    <row r="948" spans="1:21" x14ac:dyDescent="0.3">
      <c r="A948" s="26"/>
      <c r="B948" s="29">
        <v>45020</v>
      </c>
      <c r="C948" s="28" t="s">
        <v>12</v>
      </c>
      <c r="D948" s="28" t="s">
        <v>72</v>
      </c>
      <c r="E948" s="28" t="s">
        <v>47</v>
      </c>
      <c r="F948" s="28" t="s">
        <v>44</v>
      </c>
      <c r="G948" s="28" t="s">
        <v>31</v>
      </c>
      <c r="H948" s="28" t="s">
        <v>86</v>
      </c>
      <c r="I948" s="28">
        <v>2950</v>
      </c>
      <c r="J948" s="28">
        <v>89000</v>
      </c>
      <c r="K948" s="28">
        <v>4450</v>
      </c>
      <c r="L948" s="28">
        <v>222</v>
      </c>
      <c r="M948" s="28">
        <v>0.05</v>
      </c>
      <c r="N948" s="28">
        <v>33375</v>
      </c>
      <c r="O948" s="28">
        <v>0.05</v>
      </c>
      <c r="P948" s="28">
        <v>0.66</v>
      </c>
      <c r="Q948" s="28">
        <v>10.31</v>
      </c>
      <c r="R948" s="26"/>
      <c r="S948" s="26"/>
      <c r="T948" s="26"/>
      <c r="U948" s="26"/>
    </row>
    <row r="949" spans="1:21" x14ac:dyDescent="0.3">
      <c r="A949" s="26"/>
      <c r="B949" s="29">
        <v>45027</v>
      </c>
      <c r="C949" s="28" t="s">
        <v>12</v>
      </c>
      <c r="D949" s="28" t="s">
        <v>71</v>
      </c>
      <c r="E949" s="28" t="s">
        <v>48</v>
      </c>
      <c r="F949" s="28" t="s">
        <v>45</v>
      </c>
      <c r="G949" s="28" t="s">
        <v>30</v>
      </c>
      <c r="H949" s="28" t="s">
        <v>86</v>
      </c>
      <c r="I949" s="28">
        <v>6000</v>
      </c>
      <c r="J949" s="28">
        <v>63000</v>
      </c>
      <c r="K949" s="28">
        <v>1890</v>
      </c>
      <c r="L949" s="28">
        <v>94</v>
      </c>
      <c r="M949" s="28">
        <v>0.05</v>
      </c>
      <c r="N949" s="28">
        <v>23625</v>
      </c>
      <c r="O949" s="28">
        <v>0.03</v>
      </c>
      <c r="P949" s="28">
        <v>3.17</v>
      </c>
      <c r="Q949" s="28">
        <v>2.94</v>
      </c>
      <c r="R949" s="26"/>
      <c r="S949" s="26"/>
      <c r="T949" s="26"/>
      <c r="U949" s="26"/>
    </row>
    <row r="950" spans="1:21" x14ac:dyDescent="0.3">
      <c r="A950" s="26"/>
      <c r="B950" s="29">
        <v>45034</v>
      </c>
      <c r="C950" s="28" t="s">
        <v>13</v>
      </c>
      <c r="D950" s="28" t="s">
        <v>70</v>
      </c>
      <c r="E950" s="28" t="s">
        <v>49</v>
      </c>
      <c r="F950" s="28" t="s">
        <v>36</v>
      </c>
      <c r="G950" s="28" t="s">
        <v>33</v>
      </c>
      <c r="H950" s="28" t="s">
        <v>86</v>
      </c>
      <c r="I950" s="28">
        <v>3650</v>
      </c>
      <c r="J950" s="28">
        <v>110000</v>
      </c>
      <c r="K950" s="28">
        <v>4400</v>
      </c>
      <c r="L950" s="28">
        <v>220</v>
      </c>
      <c r="M950" s="28">
        <v>0.05</v>
      </c>
      <c r="N950" s="28">
        <v>33000</v>
      </c>
      <c r="O950" s="28">
        <v>0.04</v>
      </c>
      <c r="P950" s="28">
        <v>0.83</v>
      </c>
      <c r="Q950" s="28">
        <v>8.0399999999999991</v>
      </c>
      <c r="R950" s="26"/>
      <c r="S950" s="26"/>
      <c r="T950" s="26"/>
      <c r="U950" s="26"/>
    </row>
    <row r="951" spans="1:21" x14ac:dyDescent="0.3">
      <c r="A951" s="26"/>
      <c r="B951" s="29">
        <v>45041</v>
      </c>
      <c r="C951" s="28" t="s">
        <v>12</v>
      </c>
      <c r="D951" s="28" t="s">
        <v>73</v>
      </c>
      <c r="E951" s="28" t="s">
        <v>47</v>
      </c>
      <c r="F951" s="28" t="s">
        <v>44</v>
      </c>
      <c r="G951" s="28" t="s">
        <v>31</v>
      </c>
      <c r="H951" s="28" t="s">
        <v>86</v>
      </c>
      <c r="I951" s="28">
        <v>3150</v>
      </c>
      <c r="J951" s="28">
        <v>95000</v>
      </c>
      <c r="K951" s="28">
        <v>4750</v>
      </c>
      <c r="L951" s="28">
        <v>238</v>
      </c>
      <c r="M951" s="28">
        <v>0.05</v>
      </c>
      <c r="N951" s="28">
        <v>35625</v>
      </c>
      <c r="O951" s="28">
        <v>0.05</v>
      </c>
      <c r="P951" s="28">
        <v>0.66</v>
      </c>
      <c r="Q951" s="28">
        <v>10.31</v>
      </c>
      <c r="R951" s="26"/>
      <c r="S951" s="26"/>
      <c r="T951" s="26"/>
      <c r="U951" s="26"/>
    </row>
    <row r="952" spans="1:21" x14ac:dyDescent="0.3">
      <c r="A952" s="26"/>
      <c r="B952" s="29">
        <v>45048</v>
      </c>
      <c r="C952" s="28" t="s">
        <v>13</v>
      </c>
      <c r="D952" s="28" t="s">
        <v>69</v>
      </c>
      <c r="E952" s="28" t="s">
        <v>47</v>
      </c>
      <c r="F952" s="28" t="s">
        <v>40</v>
      </c>
      <c r="G952" s="28" t="s">
        <v>32</v>
      </c>
      <c r="H952" s="28" t="s">
        <v>86</v>
      </c>
      <c r="I952" s="28">
        <v>4250</v>
      </c>
      <c r="J952" s="28">
        <v>131000</v>
      </c>
      <c r="K952" s="28">
        <v>5240</v>
      </c>
      <c r="L952" s="28">
        <v>262</v>
      </c>
      <c r="M952" s="28">
        <v>0.05</v>
      </c>
      <c r="N952" s="28">
        <v>39300</v>
      </c>
      <c r="O952" s="28">
        <v>0.04</v>
      </c>
      <c r="P952" s="28">
        <v>0.81</v>
      </c>
      <c r="Q952" s="28">
        <v>8.25</v>
      </c>
      <c r="R952" s="26"/>
      <c r="S952" s="26"/>
      <c r="T952" s="26"/>
      <c r="U952" s="26"/>
    </row>
    <row r="953" spans="1:21" x14ac:dyDescent="0.3">
      <c r="A953" s="26"/>
      <c r="B953" s="29">
        <v>45055</v>
      </c>
      <c r="C953" s="28" t="s">
        <v>10</v>
      </c>
      <c r="D953" s="28" t="s">
        <v>72</v>
      </c>
      <c r="E953" s="28" t="s">
        <v>47</v>
      </c>
      <c r="F953" s="28" t="s">
        <v>36</v>
      </c>
      <c r="G953" s="28" t="s">
        <v>31</v>
      </c>
      <c r="H953" s="28" t="s">
        <v>86</v>
      </c>
      <c r="I953" s="28">
        <v>3350</v>
      </c>
      <c r="J953" s="28">
        <v>101000</v>
      </c>
      <c r="K953" s="28">
        <v>5050</v>
      </c>
      <c r="L953" s="28">
        <v>252</v>
      </c>
      <c r="M953" s="28">
        <v>0.05</v>
      </c>
      <c r="N953" s="28">
        <v>37875</v>
      </c>
      <c r="O953" s="28">
        <v>0.05</v>
      </c>
      <c r="P953" s="28">
        <v>0.66</v>
      </c>
      <c r="Q953" s="28">
        <v>10.31</v>
      </c>
      <c r="R953" s="26"/>
      <c r="S953" s="26"/>
      <c r="T953" s="26"/>
      <c r="U953" s="26"/>
    </row>
    <row r="954" spans="1:21" x14ac:dyDescent="0.3">
      <c r="A954" s="26"/>
      <c r="B954" s="29">
        <v>45062</v>
      </c>
      <c r="C954" s="28" t="s">
        <v>11</v>
      </c>
      <c r="D954" s="28" t="s">
        <v>82</v>
      </c>
      <c r="E954" s="28" t="s">
        <v>47</v>
      </c>
      <c r="F954" s="28" t="s">
        <v>40</v>
      </c>
      <c r="G954" s="28" t="s">
        <v>30</v>
      </c>
      <c r="H954" s="28" t="s">
        <v>86</v>
      </c>
      <c r="I954" s="28">
        <v>6100</v>
      </c>
      <c r="J954" s="28">
        <v>64000</v>
      </c>
      <c r="K954" s="28">
        <v>1920</v>
      </c>
      <c r="L954" s="28">
        <v>96</v>
      </c>
      <c r="M954" s="28">
        <v>0.05</v>
      </c>
      <c r="N954" s="28">
        <v>24000</v>
      </c>
      <c r="O954" s="28">
        <v>0.03</v>
      </c>
      <c r="P954" s="28">
        <v>3.18</v>
      </c>
      <c r="Q954" s="28">
        <v>2.93</v>
      </c>
      <c r="R954" s="26"/>
      <c r="S954" s="26"/>
      <c r="T954" s="26"/>
      <c r="U954" s="26"/>
    </row>
    <row r="955" spans="1:21" x14ac:dyDescent="0.3">
      <c r="A955" s="26"/>
      <c r="B955" s="29">
        <v>45069</v>
      </c>
      <c r="C955" s="28" t="s">
        <v>12</v>
      </c>
      <c r="D955" s="28" t="s">
        <v>79</v>
      </c>
      <c r="E955" s="28" t="s">
        <v>47</v>
      </c>
      <c r="F955" s="28" t="s">
        <v>39</v>
      </c>
      <c r="G955" s="28" t="s">
        <v>33</v>
      </c>
      <c r="H955" s="28" t="s">
        <v>86</v>
      </c>
      <c r="I955" s="28">
        <v>3850</v>
      </c>
      <c r="J955" s="28">
        <v>117000</v>
      </c>
      <c r="K955" s="28">
        <v>4680</v>
      </c>
      <c r="L955" s="28">
        <v>234</v>
      </c>
      <c r="M955" s="28">
        <v>0.05</v>
      </c>
      <c r="N955" s="28">
        <v>35100</v>
      </c>
      <c r="O955" s="28">
        <v>0.04</v>
      </c>
      <c r="P955" s="28">
        <v>0.82</v>
      </c>
      <c r="Q955" s="28">
        <v>8.1199999999999992</v>
      </c>
      <c r="R955" s="26"/>
      <c r="S955" s="26"/>
      <c r="T955" s="26"/>
      <c r="U955" s="26"/>
    </row>
    <row r="956" spans="1:21" x14ac:dyDescent="0.3">
      <c r="A956" s="26"/>
      <c r="B956" s="29">
        <v>45076</v>
      </c>
      <c r="C956" s="28" t="s">
        <v>11</v>
      </c>
      <c r="D956" s="28" t="s">
        <v>79</v>
      </c>
      <c r="E956" s="28" t="s">
        <v>47</v>
      </c>
      <c r="F956" s="28" t="s">
        <v>36</v>
      </c>
      <c r="G956" s="28" t="s">
        <v>31</v>
      </c>
      <c r="H956" s="28" t="s">
        <v>86</v>
      </c>
      <c r="I956" s="28">
        <v>3450</v>
      </c>
      <c r="J956" s="28">
        <v>104000</v>
      </c>
      <c r="K956" s="28">
        <v>5200</v>
      </c>
      <c r="L956" s="28">
        <v>260</v>
      </c>
      <c r="M956" s="28">
        <v>0.05</v>
      </c>
      <c r="N956" s="28">
        <v>39000</v>
      </c>
      <c r="O956" s="28">
        <v>0.05</v>
      </c>
      <c r="P956" s="28">
        <v>0.66</v>
      </c>
      <c r="Q956" s="28">
        <v>10.3</v>
      </c>
      <c r="R956" s="26"/>
      <c r="S956" s="26"/>
      <c r="T956" s="26"/>
      <c r="U956" s="26"/>
    </row>
    <row r="957" spans="1:21" x14ac:dyDescent="0.3">
      <c r="A957" s="26"/>
      <c r="B957" s="29">
        <v>45083</v>
      </c>
      <c r="C957" s="28" t="s">
        <v>13</v>
      </c>
      <c r="D957" s="28" t="s">
        <v>67</v>
      </c>
      <c r="E957" s="28" t="s">
        <v>48</v>
      </c>
      <c r="F957" s="28" t="s">
        <v>34</v>
      </c>
      <c r="G957" s="28" t="s">
        <v>32</v>
      </c>
      <c r="H957" s="28" t="s">
        <v>86</v>
      </c>
      <c r="I957" s="28">
        <v>4350</v>
      </c>
      <c r="J957" s="28">
        <v>134000</v>
      </c>
      <c r="K957" s="28">
        <v>5360</v>
      </c>
      <c r="L957" s="28">
        <v>268</v>
      </c>
      <c r="M957" s="28">
        <v>0.05</v>
      </c>
      <c r="N957" s="28">
        <v>40200</v>
      </c>
      <c r="O957" s="28">
        <v>0.04</v>
      </c>
      <c r="P957" s="28">
        <v>0.81</v>
      </c>
      <c r="Q957" s="28">
        <v>8.24</v>
      </c>
      <c r="R957" s="26"/>
      <c r="S957" s="26"/>
      <c r="T957" s="26"/>
      <c r="U957" s="26"/>
    </row>
    <row r="958" spans="1:21" x14ac:dyDescent="0.3">
      <c r="A958" s="26"/>
      <c r="B958" s="29">
        <v>45090</v>
      </c>
      <c r="C958" s="28" t="s">
        <v>13</v>
      </c>
      <c r="D958" s="28" t="s">
        <v>75</v>
      </c>
      <c r="E958" s="28" t="s">
        <v>47</v>
      </c>
      <c r="F958" s="28" t="s">
        <v>34</v>
      </c>
      <c r="G958" s="28" t="s">
        <v>31</v>
      </c>
      <c r="H958" s="28" t="s">
        <v>86</v>
      </c>
      <c r="I958" s="28">
        <v>3550</v>
      </c>
      <c r="J958" s="28">
        <v>107000</v>
      </c>
      <c r="K958" s="28">
        <v>5350</v>
      </c>
      <c r="L958" s="28">
        <v>268</v>
      </c>
      <c r="M958" s="28">
        <v>0.05</v>
      </c>
      <c r="N958" s="28">
        <v>40125</v>
      </c>
      <c r="O958" s="28">
        <v>0.05</v>
      </c>
      <c r="P958" s="28">
        <v>0.66</v>
      </c>
      <c r="Q958" s="28">
        <v>10.3</v>
      </c>
      <c r="R958" s="26"/>
      <c r="S958" s="26"/>
      <c r="T958" s="26"/>
      <c r="U958" s="26"/>
    </row>
    <row r="959" spans="1:21" x14ac:dyDescent="0.3">
      <c r="A959" s="26"/>
      <c r="B959" s="29">
        <v>45097</v>
      </c>
      <c r="C959" s="28" t="s">
        <v>11</v>
      </c>
      <c r="D959" s="28" t="s">
        <v>84</v>
      </c>
      <c r="E959" s="28" t="s">
        <v>48</v>
      </c>
      <c r="F959" s="28" t="s">
        <v>36</v>
      </c>
      <c r="G959" s="28" t="s">
        <v>30</v>
      </c>
      <c r="H959" s="28" t="s">
        <v>86</v>
      </c>
      <c r="I959" s="28">
        <v>6200</v>
      </c>
      <c r="J959" s="28">
        <v>65000</v>
      </c>
      <c r="K959" s="28">
        <v>1950</v>
      </c>
      <c r="L959" s="28">
        <v>98</v>
      </c>
      <c r="M959" s="28">
        <v>0.05</v>
      </c>
      <c r="N959" s="28">
        <v>24375</v>
      </c>
      <c r="O959" s="28">
        <v>0.03</v>
      </c>
      <c r="P959" s="28">
        <v>3.18</v>
      </c>
      <c r="Q959" s="28">
        <v>2.93</v>
      </c>
      <c r="R959" s="26"/>
      <c r="S959" s="26"/>
      <c r="T959" s="26"/>
      <c r="U959" s="26"/>
    </row>
    <row r="960" spans="1:21" x14ac:dyDescent="0.3">
      <c r="A960" s="26"/>
      <c r="B960" s="29">
        <v>45104</v>
      </c>
      <c r="C960" s="28" t="s">
        <v>11</v>
      </c>
      <c r="D960" s="28" t="s">
        <v>70</v>
      </c>
      <c r="E960" s="28" t="s">
        <v>49</v>
      </c>
      <c r="F960" s="28" t="s">
        <v>37</v>
      </c>
      <c r="G960" s="28" t="s">
        <v>33</v>
      </c>
      <c r="H960" s="28" t="s">
        <v>87</v>
      </c>
      <c r="I960" s="28">
        <v>3950</v>
      </c>
      <c r="J960" s="28">
        <v>120000</v>
      </c>
      <c r="K960" s="28">
        <v>4800</v>
      </c>
      <c r="L960" s="28">
        <v>240</v>
      </c>
      <c r="M960" s="28">
        <v>0.05</v>
      </c>
      <c r="N960" s="28">
        <v>36000</v>
      </c>
      <c r="O960" s="28">
        <v>0.04</v>
      </c>
      <c r="P960" s="28">
        <v>0.82</v>
      </c>
      <c r="Q960" s="28">
        <v>8.11</v>
      </c>
      <c r="R960" s="26"/>
      <c r="S960" s="26"/>
      <c r="T960" s="26"/>
      <c r="U960" s="26"/>
    </row>
    <row r="961" spans="1:21" x14ac:dyDescent="0.3">
      <c r="A961" s="26"/>
      <c r="B961" s="29">
        <v>45111</v>
      </c>
      <c r="C961" s="28" t="s">
        <v>11</v>
      </c>
      <c r="D961" s="28" t="s">
        <v>68</v>
      </c>
      <c r="E961" s="28" t="s">
        <v>47</v>
      </c>
      <c r="F961" s="28" t="s">
        <v>41</v>
      </c>
      <c r="G961" s="28" t="s">
        <v>31</v>
      </c>
      <c r="H961" s="28" t="s">
        <v>87</v>
      </c>
      <c r="I961" s="28">
        <v>3650</v>
      </c>
      <c r="J961" s="28">
        <v>110000</v>
      </c>
      <c r="K961" s="28">
        <v>5500</v>
      </c>
      <c r="L961" s="28">
        <v>275</v>
      </c>
      <c r="M961" s="28">
        <v>0.05</v>
      </c>
      <c r="N961" s="28">
        <v>41250</v>
      </c>
      <c r="O961" s="28">
        <v>0.05</v>
      </c>
      <c r="P961" s="28">
        <v>0.66</v>
      </c>
      <c r="Q961" s="28">
        <v>10.3</v>
      </c>
      <c r="R961" s="26"/>
      <c r="S961" s="26"/>
      <c r="T961" s="26"/>
      <c r="U961" s="26"/>
    </row>
    <row r="962" spans="1:21" x14ac:dyDescent="0.3">
      <c r="A962" s="26"/>
      <c r="B962" s="29">
        <v>45118</v>
      </c>
      <c r="C962" s="28" t="s">
        <v>11</v>
      </c>
      <c r="D962" s="28" t="s">
        <v>68</v>
      </c>
      <c r="E962" s="28" t="s">
        <v>47</v>
      </c>
      <c r="F962" s="28" t="s">
        <v>34</v>
      </c>
      <c r="G962" s="28" t="s">
        <v>32</v>
      </c>
      <c r="H962" s="28" t="s">
        <v>87</v>
      </c>
      <c r="I962" s="28">
        <v>4450</v>
      </c>
      <c r="J962" s="28">
        <v>137000</v>
      </c>
      <c r="K962" s="28">
        <v>5480</v>
      </c>
      <c r="L962" s="28">
        <v>274</v>
      </c>
      <c r="M962" s="28">
        <v>0.05</v>
      </c>
      <c r="N962" s="28">
        <v>41100</v>
      </c>
      <c r="O962" s="28">
        <v>0.04</v>
      </c>
      <c r="P962" s="28">
        <v>0.81</v>
      </c>
      <c r="Q962" s="28">
        <v>8.24</v>
      </c>
      <c r="R962" s="26"/>
      <c r="S962" s="26"/>
      <c r="T962" s="26"/>
      <c r="U962" s="26"/>
    </row>
    <row r="963" spans="1:21" x14ac:dyDescent="0.3">
      <c r="A963" s="26"/>
      <c r="B963" s="29">
        <v>45125</v>
      </c>
      <c r="C963" s="28" t="s">
        <v>10</v>
      </c>
      <c r="D963" s="28" t="s">
        <v>68</v>
      </c>
      <c r="E963" s="28" t="s">
        <v>47</v>
      </c>
      <c r="F963" s="28" t="s">
        <v>45</v>
      </c>
      <c r="G963" s="28" t="s">
        <v>31</v>
      </c>
      <c r="H963" s="28" t="s">
        <v>87</v>
      </c>
      <c r="I963" s="28">
        <v>3750</v>
      </c>
      <c r="J963" s="28">
        <v>113000</v>
      </c>
      <c r="K963" s="28">
        <v>5650</v>
      </c>
      <c r="L963" s="28">
        <v>282</v>
      </c>
      <c r="M963" s="28">
        <v>0.05</v>
      </c>
      <c r="N963" s="28">
        <v>42375</v>
      </c>
      <c r="O963" s="28">
        <v>0.05</v>
      </c>
      <c r="P963" s="28">
        <v>0.66</v>
      </c>
      <c r="Q963" s="28">
        <v>10.3</v>
      </c>
      <c r="R963" s="26"/>
      <c r="S963" s="26"/>
      <c r="T963" s="26"/>
      <c r="U963" s="26"/>
    </row>
    <row r="964" spans="1:21" x14ac:dyDescent="0.3">
      <c r="A964" s="26"/>
      <c r="B964" s="29">
        <v>45132</v>
      </c>
      <c r="C964" s="28" t="s">
        <v>11</v>
      </c>
      <c r="D964" s="28" t="s">
        <v>71</v>
      </c>
      <c r="E964" s="28" t="s">
        <v>48</v>
      </c>
      <c r="F964" s="28" t="s">
        <v>34</v>
      </c>
      <c r="G964" s="28" t="s">
        <v>30</v>
      </c>
      <c r="H964" s="28" t="s">
        <v>87</v>
      </c>
      <c r="I964" s="28">
        <v>6300</v>
      </c>
      <c r="J964" s="28">
        <v>66000</v>
      </c>
      <c r="K964" s="28">
        <v>1980</v>
      </c>
      <c r="L964" s="28">
        <v>99</v>
      </c>
      <c r="M964" s="28">
        <v>0.05</v>
      </c>
      <c r="N964" s="28">
        <v>24750</v>
      </c>
      <c r="O964" s="28">
        <v>0.03</v>
      </c>
      <c r="P964" s="28">
        <v>3.18</v>
      </c>
      <c r="Q964" s="28">
        <v>2.93</v>
      </c>
      <c r="R964" s="26"/>
      <c r="S964" s="26"/>
      <c r="T964" s="26"/>
      <c r="U964" s="26"/>
    </row>
    <row r="965" spans="1:21" x14ac:dyDescent="0.3">
      <c r="A965" s="26"/>
      <c r="B965" s="29">
        <v>45139</v>
      </c>
      <c r="C965" s="28" t="s">
        <v>13</v>
      </c>
      <c r="D965" s="28" t="s">
        <v>83</v>
      </c>
      <c r="E965" s="28" t="s">
        <v>49</v>
      </c>
      <c r="F965" s="28" t="s">
        <v>37</v>
      </c>
      <c r="G965" s="28" t="s">
        <v>33</v>
      </c>
      <c r="H965" s="28" t="s">
        <v>87</v>
      </c>
      <c r="I965" s="28">
        <v>4050</v>
      </c>
      <c r="J965" s="28">
        <v>123000</v>
      </c>
      <c r="K965" s="28">
        <v>4920</v>
      </c>
      <c r="L965" s="28">
        <v>246</v>
      </c>
      <c r="M965" s="28">
        <v>0.05</v>
      </c>
      <c r="N965" s="28">
        <v>36900</v>
      </c>
      <c r="O965" s="28">
        <v>0.04</v>
      </c>
      <c r="P965" s="28">
        <v>0.82</v>
      </c>
      <c r="Q965" s="28">
        <v>8.11</v>
      </c>
      <c r="R965" s="26"/>
      <c r="S965" s="26"/>
      <c r="T965" s="26"/>
      <c r="U965" s="26"/>
    </row>
    <row r="966" spans="1:21" x14ac:dyDescent="0.3">
      <c r="A966" s="26"/>
      <c r="B966" s="29">
        <v>45146</v>
      </c>
      <c r="C966" s="28" t="s">
        <v>13</v>
      </c>
      <c r="D966" s="28" t="s">
        <v>75</v>
      </c>
      <c r="E966" s="28" t="s">
        <v>47</v>
      </c>
      <c r="F966" s="28" t="s">
        <v>41</v>
      </c>
      <c r="G966" s="28" t="s">
        <v>31</v>
      </c>
      <c r="H966" s="28" t="s">
        <v>87</v>
      </c>
      <c r="I966" s="28">
        <v>3850</v>
      </c>
      <c r="J966" s="28">
        <v>116000</v>
      </c>
      <c r="K966" s="28">
        <v>5800</v>
      </c>
      <c r="L966" s="28">
        <v>290</v>
      </c>
      <c r="M966" s="28">
        <v>0.05</v>
      </c>
      <c r="N966" s="28">
        <v>43500</v>
      </c>
      <c r="O966" s="28">
        <v>0.05</v>
      </c>
      <c r="P966" s="28">
        <v>0.66</v>
      </c>
      <c r="Q966" s="28">
        <v>10.3</v>
      </c>
      <c r="R966" s="26"/>
      <c r="S966" s="26"/>
      <c r="T966" s="26"/>
      <c r="U966" s="26"/>
    </row>
    <row r="967" spans="1:21" x14ac:dyDescent="0.3">
      <c r="A967" s="26"/>
      <c r="B967" s="29">
        <v>45153</v>
      </c>
      <c r="C967" s="28" t="s">
        <v>12</v>
      </c>
      <c r="D967" s="28" t="s">
        <v>71</v>
      </c>
      <c r="E967" s="28" t="s">
        <v>48</v>
      </c>
      <c r="F967" s="28" t="s">
        <v>39</v>
      </c>
      <c r="G967" s="28" t="s">
        <v>32</v>
      </c>
      <c r="H967" s="28" t="s">
        <v>87</v>
      </c>
      <c r="I967" s="28">
        <v>4550</v>
      </c>
      <c r="J967" s="28">
        <v>140000</v>
      </c>
      <c r="K967" s="28">
        <v>5600</v>
      </c>
      <c r="L967" s="28">
        <v>280</v>
      </c>
      <c r="M967" s="28">
        <v>0.05</v>
      </c>
      <c r="N967" s="28">
        <v>42000</v>
      </c>
      <c r="O967" s="28">
        <v>0.04</v>
      </c>
      <c r="P967" s="28">
        <v>0.81</v>
      </c>
      <c r="Q967" s="28">
        <v>8.23</v>
      </c>
      <c r="R967" s="26"/>
      <c r="S967" s="26"/>
      <c r="T967" s="26"/>
      <c r="U967" s="26"/>
    </row>
    <row r="968" spans="1:21" x14ac:dyDescent="0.3">
      <c r="A968" s="26"/>
      <c r="B968" s="29">
        <v>45160</v>
      </c>
      <c r="C968" s="28" t="s">
        <v>12</v>
      </c>
      <c r="D968" s="28" t="s">
        <v>65</v>
      </c>
      <c r="E968" s="28" t="s">
        <v>47</v>
      </c>
      <c r="F968" s="28" t="s">
        <v>42</v>
      </c>
      <c r="G968" s="28" t="s">
        <v>31</v>
      </c>
      <c r="H968" s="28" t="s">
        <v>87</v>
      </c>
      <c r="I968" s="28">
        <v>3950</v>
      </c>
      <c r="J968" s="28">
        <v>119000</v>
      </c>
      <c r="K968" s="28">
        <v>5950</v>
      </c>
      <c r="L968" s="28">
        <v>298</v>
      </c>
      <c r="M968" s="28">
        <v>0.05</v>
      </c>
      <c r="N968" s="28">
        <v>44625</v>
      </c>
      <c r="O968" s="28">
        <v>0.05</v>
      </c>
      <c r="P968" s="28">
        <v>0.66</v>
      </c>
      <c r="Q968" s="28">
        <v>10.3</v>
      </c>
      <c r="R968" s="26"/>
      <c r="S968" s="26"/>
      <c r="T968" s="26"/>
      <c r="U968" s="26"/>
    </row>
    <row r="969" spans="1:21" x14ac:dyDescent="0.3">
      <c r="A969" s="26"/>
      <c r="B969" s="29">
        <v>45167</v>
      </c>
      <c r="C969" s="28" t="s">
        <v>12</v>
      </c>
      <c r="D969" s="28" t="s">
        <v>65</v>
      </c>
      <c r="E969" s="28" t="s">
        <v>47</v>
      </c>
      <c r="F969" s="28" t="s">
        <v>42</v>
      </c>
      <c r="G969" s="28" t="s">
        <v>30</v>
      </c>
      <c r="H969" s="28" t="s">
        <v>87</v>
      </c>
      <c r="I969" s="28">
        <v>6400</v>
      </c>
      <c r="J969" s="28">
        <v>67000</v>
      </c>
      <c r="K969" s="28">
        <v>2010</v>
      </c>
      <c r="L969" s="28">
        <v>100</v>
      </c>
      <c r="M969" s="28">
        <v>0.05</v>
      </c>
      <c r="N969" s="28">
        <v>25125</v>
      </c>
      <c r="O969" s="28">
        <v>0.03</v>
      </c>
      <c r="P969" s="28">
        <v>3.18</v>
      </c>
      <c r="Q969" s="28">
        <v>2.93</v>
      </c>
      <c r="R969" s="26"/>
      <c r="S969" s="26"/>
      <c r="T969" s="26"/>
      <c r="U969" s="26"/>
    </row>
    <row r="970" spans="1:21" x14ac:dyDescent="0.3">
      <c r="A970" s="26"/>
      <c r="B970" s="29">
        <v>45174</v>
      </c>
      <c r="C970" s="28" t="s">
        <v>13</v>
      </c>
      <c r="D970" s="28" t="s">
        <v>79</v>
      </c>
      <c r="E970" s="28" t="s">
        <v>47</v>
      </c>
      <c r="F970" s="28" t="s">
        <v>41</v>
      </c>
      <c r="G970" s="28" t="s">
        <v>33</v>
      </c>
      <c r="H970" s="28" t="s">
        <v>87</v>
      </c>
      <c r="I970" s="28">
        <v>4150</v>
      </c>
      <c r="J970" s="28">
        <v>126000</v>
      </c>
      <c r="K970" s="28">
        <v>5040</v>
      </c>
      <c r="L970" s="28">
        <v>252</v>
      </c>
      <c r="M970" s="28">
        <v>0.05</v>
      </c>
      <c r="N970" s="28">
        <v>37800</v>
      </c>
      <c r="O970" s="28">
        <v>0.04</v>
      </c>
      <c r="P970" s="28">
        <v>0.82</v>
      </c>
      <c r="Q970" s="28">
        <v>8.11</v>
      </c>
      <c r="R970" s="26"/>
      <c r="S970" s="26"/>
      <c r="T970" s="26"/>
      <c r="U970" s="26"/>
    </row>
    <row r="971" spans="1:21" x14ac:dyDescent="0.3">
      <c r="A971" s="26"/>
      <c r="B971" s="29">
        <v>45181</v>
      </c>
      <c r="C971" s="28" t="s">
        <v>13</v>
      </c>
      <c r="D971" s="28" t="s">
        <v>82</v>
      </c>
      <c r="E971" s="28" t="s">
        <v>47</v>
      </c>
      <c r="F971" s="28" t="s">
        <v>36</v>
      </c>
      <c r="G971" s="28" t="s">
        <v>31</v>
      </c>
      <c r="H971" s="28" t="s">
        <v>87</v>
      </c>
      <c r="I971" s="28">
        <v>4050</v>
      </c>
      <c r="J971" s="28">
        <v>122000</v>
      </c>
      <c r="K971" s="28">
        <v>6100</v>
      </c>
      <c r="L971" s="28">
        <v>305</v>
      </c>
      <c r="M971" s="28">
        <v>0.05</v>
      </c>
      <c r="N971" s="28">
        <v>45750</v>
      </c>
      <c r="O971" s="28">
        <v>0.05</v>
      </c>
      <c r="P971" s="28">
        <v>0.66</v>
      </c>
      <c r="Q971" s="28">
        <v>10.3</v>
      </c>
      <c r="R971" s="26"/>
      <c r="S971" s="26"/>
      <c r="T971" s="26"/>
      <c r="U971" s="26"/>
    </row>
    <row r="972" spans="1:21" x14ac:dyDescent="0.3">
      <c r="A972" s="26"/>
      <c r="B972" s="29">
        <v>45188</v>
      </c>
      <c r="C972" s="28" t="s">
        <v>11</v>
      </c>
      <c r="D972" s="28" t="s">
        <v>79</v>
      </c>
      <c r="E972" s="28" t="s">
        <v>47</v>
      </c>
      <c r="F972" s="28" t="s">
        <v>41</v>
      </c>
      <c r="G972" s="28" t="s">
        <v>32</v>
      </c>
      <c r="H972" s="28" t="s">
        <v>88</v>
      </c>
      <c r="I972" s="28">
        <v>4650</v>
      </c>
      <c r="J972" s="28">
        <v>143000</v>
      </c>
      <c r="K972" s="28">
        <v>5720</v>
      </c>
      <c r="L972" s="28">
        <v>286</v>
      </c>
      <c r="M972" s="28">
        <v>0.05</v>
      </c>
      <c r="N972" s="28">
        <v>42900</v>
      </c>
      <c r="O972" s="28">
        <v>0.04</v>
      </c>
      <c r="P972" s="28">
        <v>0.81</v>
      </c>
      <c r="Q972" s="28">
        <v>8.23</v>
      </c>
      <c r="R972" s="26"/>
      <c r="S972" s="26"/>
      <c r="T972" s="26"/>
      <c r="U972" s="26"/>
    </row>
    <row r="973" spans="1:21" x14ac:dyDescent="0.3">
      <c r="A973" s="26"/>
      <c r="B973" s="29">
        <v>45195</v>
      </c>
      <c r="C973" s="28" t="s">
        <v>11</v>
      </c>
      <c r="D973" s="28" t="s">
        <v>69</v>
      </c>
      <c r="E973" s="28" t="s">
        <v>47</v>
      </c>
      <c r="F973" s="28" t="s">
        <v>36</v>
      </c>
      <c r="G973" s="28" t="s">
        <v>31</v>
      </c>
      <c r="H973" s="28" t="s">
        <v>88</v>
      </c>
      <c r="I973" s="28">
        <v>4150</v>
      </c>
      <c r="J973" s="28">
        <v>125000</v>
      </c>
      <c r="K973" s="28">
        <v>6250</v>
      </c>
      <c r="L973" s="28">
        <v>312</v>
      </c>
      <c r="M973" s="28">
        <v>0.05</v>
      </c>
      <c r="N973" s="28">
        <v>46875</v>
      </c>
      <c r="O973" s="28">
        <v>0.05</v>
      </c>
      <c r="P973" s="28">
        <v>0.66</v>
      </c>
      <c r="Q973" s="28">
        <v>10.3</v>
      </c>
      <c r="R973" s="26"/>
      <c r="S973" s="26"/>
      <c r="T973" s="26"/>
      <c r="U973" s="26"/>
    </row>
    <row r="974" spans="1:21" x14ac:dyDescent="0.3">
      <c r="A974" s="26"/>
      <c r="B974" s="29">
        <v>45202</v>
      </c>
      <c r="C974" s="28" t="s">
        <v>13</v>
      </c>
      <c r="D974" s="28" t="s">
        <v>81</v>
      </c>
      <c r="E974" s="28" t="s">
        <v>48</v>
      </c>
      <c r="F974" s="28" t="s">
        <v>45</v>
      </c>
      <c r="G974" s="28" t="s">
        <v>30</v>
      </c>
      <c r="H974" s="28" t="s">
        <v>88</v>
      </c>
      <c r="I974" s="28">
        <v>6500</v>
      </c>
      <c r="J974" s="28">
        <v>68000</v>
      </c>
      <c r="K974" s="28">
        <v>2040</v>
      </c>
      <c r="L974" s="28">
        <v>102</v>
      </c>
      <c r="M974" s="28">
        <v>0.05</v>
      </c>
      <c r="N974" s="28">
        <v>25500</v>
      </c>
      <c r="O974" s="28">
        <v>0.03</v>
      </c>
      <c r="P974" s="28">
        <v>3.19</v>
      </c>
      <c r="Q974" s="28">
        <v>2.92</v>
      </c>
      <c r="R974" s="26"/>
      <c r="S974" s="26"/>
      <c r="T974" s="26"/>
      <c r="U974" s="26"/>
    </row>
    <row r="975" spans="1:21" x14ac:dyDescent="0.3">
      <c r="A975" s="26"/>
      <c r="B975" s="29">
        <v>45209</v>
      </c>
      <c r="C975" s="28" t="s">
        <v>13</v>
      </c>
      <c r="D975" s="28" t="s">
        <v>83</v>
      </c>
      <c r="E975" s="28" t="s">
        <v>49</v>
      </c>
      <c r="F975" s="28" t="s">
        <v>38</v>
      </c>
      <c r="G975" s="28" t="s">
        <v>33</v>
      </c>
      <c r="H975" s="28" t="s">
        <v>88</v>
      </c>
      <c r="I975" s="28">
        <v>4250</v>
      </c>
      <c r="J975" s="28">
        <v>129000</v>
      </c>
      <c r="K975" s="28">
        <v>5160</v>
      </c>
      <c r="L975" s="28">
        <v>258</v>
      </c>
      <c r="M975" s="28">
        <v>0.05</v>
      </c>
      <c r="N975" s="28">
        <v>38700</v>
      </c>
      <c r="O975" s="28">
        <v>0.04</v>
      </c>
      <c r="P975" s="28">
        <v>0.82</v>
      </c>
      <c r="Q975" s="28">
        <v>8.11</v>
      </c>
      <c r="R975" s="26"/>
      <c r="S975" s="26"/>
      <c r="T975" s="26"/>
      <c r="U975" s="26"/>
    </row>
    <row r="976" spans="1:21" x14ac:dyDescent="0.3">
      <c r="A976" s="26"/>
      <c r="B976" s="29">
        <v>45216</v>
      </c>
      <c r="C976" s="28" t="s">
        <v>13</v>
      </c>
      <c r="D976" s="28" t="s">
        <v>77</v>
      </c>
      <c r="E976" s="28" t="s">
        <v>49</v>
      </c>
      <c r="F976" s="28" t="s">
        <v>36</v>
      </c>
      <c r="G976" s="28" t="s">
        <v>31</v>
      </c>
      <c r="H976" s="28" t="s">
        <v>88</v>
      </c>
      <c r="I976" s="28">
        <v>4250</v>
      </c>
      <c r="J976" s="28">
        <v>128000</v>
      </c>
      <c r="K976" s="28">
        <v>6400</v>
      </c>
      <c r="L976" s="28">
        <v>320</v>
      </c>
      <c r="M976" s="28">
        <v>0.05</v>
      </c>
      <c r="N976" s="28">
        <v>48000</v>
      </c>
      <c r="O976" s="28">
        <v>0.05</v>
      </c>
      <c r="P976" s="28">
        <v>0.66</v>
      </c>
      <c r="Q976" s="28">
        <v>10.29</v>
      </c>
      <c r="R976" s="26"/>
      <c r="S976" s="26"/>
      <c r="T976" s="26"/>
      <c r="U976" s="26"/>
    </row>
    <row r="977" spans="1:21" x14ac:dyDescent="0.3">
      <c r="A977" s="26"/>
      <c r="B977" s="29">
        <v>45223</v>
      </c>
      <c r="C977" s="28" t="s">
        <v>13</v>
      </c>
      <c r="D977" s="28" t="s">
        <v>73</v>
      </c>
      <c r="E977" s="28" t="s">
        <v>47</v>
      </c>
      <c r="F977" s="28" t="s">
        <v>44</v>
      </c>
      <c r="G977" s="28" t="s">
        <v>32</v>
      </c>
      <c r="H977" s="28" t="s">
        <v>88</v>
      </c>
      <c r="I977" s="28">
        <v>4750</v>
      </c>
      <c r="J977" s="28">
        <v>146000</v>
      </c>
      <c r="K977" s="28">
        <v>5840</v>
      </c>
      <c r="L977" s="28">
        <v>292</v>
      </c>
      <c r="M977" s="28">
        <v>0.05</v>
      </c>
      <c r="N977" s="28">
        <v>43800</v>
      </c>
      <c r="O977" s="28">
        <v>0.04</v>
      </c>
      <c r="P977" s="28">
        <v>0.81</v>
      </c>
      <c r="Q977" s="28">
        <v>8.2200000000000006</v>
      </c>
      <c r="R977" s="26"/>
      <c r="S977" s="26"/>
      <c r="T977" s="26"/>
      <c r="U977" s="26"/>
    </row>
    <row r="978" spans="1:21" x14ac:dyDescent="0.3">
      <c r="A978" s="26"/>
      <c r="B978" s="29">
        <v>45230</v>
      </c>
      <c r="C978" s="28" t="s">
        <v>12</v>
      </c>
      <c r="D978" s="28" t="s">
        <v>77</v>
      </c>
      <c r="E978" s="28" t="s">
        <v>49</v>
      </c>
      <c r="F978" s="28" t="s">
        <v>42</v>
      </c>
      <c r="G978" s="28" t="s">
        <v>31</v>
      </c>
      <c r="H978" s="28" t="s">
        <v>88</v>
      </c>
      <c r="I978" s="28">
        <v>4350</v>
      </c>
      <c r="J978" s="28">
        <v>131000</v>
      </c>
      <c r="K978" s="28">
        <v>6550</v>
      </c>
      <c r="L978" s="28">
        <v>328</v>
      </c>
      <c r="M978" s="28">
        <v>0.05</v>
      </c>
      <c r="N978" s="28">
        <v>49125</v>
      </c>
      <c r="O978" s="28">
        <v>0.05</v>
      </c>
      <c r="P978" s="28">
        <v>0.66</v>
      </c>
      <c r="Q978" s="28">
        <v>10.29</v>
      </c>
      <c r="R978" s="26"/>
      <c r="S978" s="26"/>
      <c r="T978" s="26"/>
      <c r="U978" s="26"/>
    </row>
    <row r="979" spans="1:21" x14ac:dyDescent="0.3">
      <c r="A979" s="26"/>
      <c r="B979" s="29">
        <v>45237</v>
      </c>
      <c r="C979" s="28" t="s">
        <v>13</v>
      </c>
      <c r="D979" s="28" t="s">
        <v>65</v>
      </c>
      <c r="E979" s="28" t="s">
        <v>47</v>
      </c>
      <c r="F979" s="28" t="s">
        <v>41</v>
      </c>
      <c r="G979" s="28" t="s">
        <v>30</v>
      </c>
      <c r="H979" s="28" t="s">
        <v>88</v>
      </c>
      <c r="I979" s="28">
        <v>6600</v>
      </c>
      <c r="J979" s="28">
        <v>69000</v>
      </c>
      <c r="K979" s="28">
        <v>2070</v>
      </c>
      <c r="L979" s="28">
        <v>104</v>
      </c>
      <c r="M979" s="28">
        <v>0.05</v>
      </c>
      <c r="N979" s="28">
        <v>25875</v>
      </c>
      <c r="O979" s="28">
        <v>0.03</v>
      </c>
      <c r="P979" s="28">
        <v>3.19</v>
      </c>
      <c r="Q979" s="28">
        <v>2.92</v>
      </c>
      <c r="R979" s="26"/>
      <c r="S979" s="26"/>
      <c r="T979" s="26"/>
      <c r="U979" s="26"/>
    </row>
    <row r="980" spans="1:21" x14ac:dyDescent="0.3">
      <c r="A980" s="26"/>
      <c r="B980" s="29">
        <v>45244</v>
      </c>
      <c r="C980" s="28" t="s">
        <v>10</v>
      </c>
      <c r="D980" s="28" t="s">
        <v>69</v>
      </c>
      <c r="E980" s="28" t="s">
        <v>47</v>
      </c>
      <c r="F980" s="28" t="s">
        <v>40</v>
      </c>
      <c r="G980" s="28" t="s">
        <v>33</v>
      </c>
      <c r="H980" s="28" t="s">
        <v>88</v>
      </c>
      <c r="I980" s="28">
        <v>4350</v>
      </c>
      <c r="J980" s="28">
        <v>132000</v>
      </c>
      <c r="K980" s="28">
        <v>5280</v>
      </c>
      <c r="L980" s="28">
        <v>264</v>
      </c>
      <c r="M980" s="28">
        <v>0.05</v>
      </c>
      <c r="N980" s="28">
        <v>39600</v>
      </c>
      <c r="O980" s="28">
        <v>0.04</v>
      </c>
      <c r="P980" s="28">
        <v>0.82</v>
      </c>
      <c r="Q980" s="28">
        <v>8.1</v>
      </c>
      <c r="R980" s="26"/>
      <c r="S980" s="26"/>
      <c r="T980" s="26"/>
      <c r="U980" s="26"/>
    </row>
    <row r="981" spans="1:21" x14ac:dyDescent="0.3">
      <c r="A981" s="26"/>
      <c r="B981" s="29">
        <v>45251</v>
      </c>
      <c r="C981" s="28" t="s">
        <v>11</v>
      </c>
      <c r="D981" s="28" t="s">
        <v>72</v>
      </c>
      <c r="E981" s="28" t="s">
        <v>47</v>
      </c>
      <c r="F981" s="28" t="s">
        <v>41</v>
      </c>
      <c r="G981" s="28" t="s">
        <v>31</v>
      </c>
      <c r="H981" s="28" t="s">
        <v>88</v>
      </c>
      <c r="I981" s="28">
        <v>4450</v>
      </c>
      <c r="J981" s="28">
        <v>134000</v>
      </c>
      <c r="K981" s="28">
        <v>6700</v>
      </c>
      <c r="L981" s="28">
        <v>335</v>
      </c>
      <c r="M981" s="28">
        <v>0.05</v>
      </c>
      <c r="N981" s="28">
        <v>50250</v>
      </c>
      <c r="O981" s="28">
        <v>0.05</v>
      </c>
      <c r="P981" s="28">
        <v>0.66</v>
      </c>
      <c r="Q981" s="28">
        <v>10.29</v>
      </c>
      <c r="R981" s="26"/>
      <c r="S981" s="26"/>
      <c r="T981" s="26"/>
      <c r="U981" s="26"/>
    </row>
    <row r="982" spans="1:21" x14ac:dyDescent="0.3">
      <c r="A982" s="26"/>
      <c r="B982" s="29">
        <v>45258</v>
      </c>
      <c r="C982" s="28" t="s">
        <v>13</v>
      </c>
      <c r="D982" s="28" t="s">
        <v>79</v>
      </c>
      <c r="E982" s="28" t="s">
        <v>47</v>
      </c>
      <c r="F982" s="28" t="s">
        <v>38</v>
      </c>
      <c r="G982" s="28" t="s">
        <v>32</v>
      </c>
      <c r="H982" s="28" t="s">
        <v>88</v>
      </c>
      <c r="I982" s="28">
        <v>4850</v>
      </c>
      <c r="J982" s="28">
        <v>149000</v>
      </c>
      <c r="K982" s="28">
        <v>5960</v>
      </c>
      <c r="L982" s="28">
        <v>298</v>
      </c>
      <c r="M982" s="28">
        <v>0.05</v>
      </c>
      <c r="N982" s="28">
        <v>44700</v>
      </c>
      <c r="O982" s="28">
        <v>0.04</v>
      </c>
      <c r="P982" s="28">
        <v>0.81</v>
      </c>
      <c r="Q982" s="28">
        <v>8.2200000000000006</v>
      </c>
      <c r="R982" s="26"/>
      <c r="S982" s="26"/>
      <c r="T982" s="26"/>
      <c r="U982" s="26"/>
    </row>
    <row r="983" spans="1:21" x14ac:dyDescent="0.3">
      <c r="A983" s="26"/>
      <c r="B983" s="29">
        <v>45265</v>
      </c>
      <c r="C983" s="28" t="s">
        <v>12</v>
      </c>
      <c r="D983" s="28" t="s">
        <v>74</v>
      </c>
      <c r="E983" s="28" t="s">
        <v>49</v>
      </c>
      <c r="F983" s="28" t="s">
        <v>40</v>
      </c>
      <c r="G983" s="28" t="s">
        <v>31</v>
      </c>
      <c r="H983" s="28" t="s">
        <v>88</v>
      </c>
      <c r="I983" s="28">
        <v>4550</v>
      </c>
      <c r="J983" s="28">
        <v>137000</v>
      </c>
      <c r="K983" s="28">
        <v>6850</v>
      </c>
      <c r="L983" s="28">
        <v>342</v>
      </c>
      <c r="M983" s="28">
        <v>0.05</v>
      </c>
      <c r="N983" s="28">
        <v>51375</v>
      </c>
      <c r="O983" s="28">
        <v>0.05</v>
      </c>
      <c r="P983" s="28">
        <v>0.66</v>
      </c>
      <c r="Q983" s="28">
        <v>10.29</v>
      </c>
      <c r="R983" s="26"/>
      <c r="S983" s="26"/>
      <c r="T983" s="26"/>
      <c r="U983" s="26"/>
    </row>
    <row r="984" spans="1:21" x14ac:dyDescent="0.3">
      <c r="A984" s="26"/>
      <c r="B984" s="29">
        <v>45272</v>
      </c>
      <c r="C984" s="28" t="s">
        <v>10</v>
      </c>
      <c r="D984" s="28" t="s">
        <v>81</v>
      </c>
      <c r="E984" s="28" t="s">
        <v>48</v>
      </c>
      <c r="F984" s="28" t="s">
        <v>35</v>
      </c>
      <c r="G984" s="28" t="s">
        <v>30</v>
      </c>
      <c r="H984" s="28" t="s">
        <v>88</v>
      </c>
      <c r="I984" s="28">
        <v>6700</v>
      </c>
      <c r="J984" s="28">
        <v>70000</v>
      </c>
      <c r="K984" s="28">
        <v>2100</v>
      </c>
      <c r="L984" s="28">
        <v>105</v>
      </c>
      <c r="M984" s="28">
        <v>0.05</v>
      </c>
      <c r="N984" s="28">
        <v>26250</v>
      </c>
      <c r="O984" s="28">
        <v>0.03</v>
      </c>
      <c r="P984" s="28">
        <v>3.19</v>
      </c>
      <c r="Q984" s="28">
        <v>2.92</v>
      </c>
      <c r="R984" s="26"/>
      <c r="S984" s="26"/>
      <c r="T984" s="26"/>
      <c r="U984" s="26"/>
    </row>
    <row r="985" spans="1:21" x14ac:dyDescent="0.3">
      <c r="A985" s="26"/>
      <c r="B985" s="29">
        <v>45279</v>
      </c>
      <c r="C985" s="28" t="s">
        <v>11</v>
      </c>
      <c r="D985" s="28" t="s">
        <v>83</v>
      </c>
      <c r="E985" s="28" t="s">
        <v>49</v>
      </c>
      <c r="F985" s="28" t="s">
        <v>37</v>
      </c>
      <c r="G985" s="28" t="s">
        <v>33</v>
      </c>
      <c r="H985" s="28" t="s">
        <v>88</v>
      </c>
      <c r="I985" s="28">
        <v>4450</v>
      </c>
      <c r="J985" s="28">
        <v>135000</v>
      </c>
      <c r="K985" s="28">
        <v>5400</v>
      </c>
      <c r="L985" s="28">
        <v>270</v>
      </c>
      <c r="M985" s="28">
        <v>0.05</v>
      </c>
      <c r="N985" s="28">
        <v>40500</v>
      </c>
      <c r="O985" s="28">
        <v>0.04</v>
      </c>
      <c r="P985" s="28">
        <v>0.82</v>
      </c>
      <c r="Q985" s="28">
        <v>8.1</v>
      </c>
      <c r="R985" s="26"/>
      <c r="S985" s="26"/>
      <c r="T985" s="26"/>
      <c r="U985" s="26"/>
    </row>
    <row r="986" spans="1:21" x14ac:dyDescent="0.3">
      <c r="A986" s="26"/>
      <c r="B986" s="29">
        <v>45286</v>
      </c>
      <c r="C986" s="28" t="s">
        <v>12</v>
      </c>
      <c r="D986" s="28" t="s">
        <v>73</v>
      </c>
      <c r="E986" s="28" t="s">
        <v>47</v>
      </c>
      <c r="F986" s="28" t="s">
        <v>36</v>
      </c>
      <c r="G986" s="28" t="s">
        <v>31</v>
      </c>
      <c r="H986" s="28" t="s">
        <v>88</v>
      </c>
      <c r="I986" s="28">
        <v>4650</v>
      </c>
      <c r="J986" s="28">
        <v>140000</v>
      </c>
      <c r="K986" s="28">
        <v>7000</v>
      </c>
      <c r="L986" s="28">
        <v>350</v>
      </c>
      <c r="M986" s="28">
        <v>0.05</v>
      </c>
      <c r="N986" s="28">
        <v>52500</v>
      </c>
      <c r="O986" s="28">
        <v>0.05</v>
      </c>
      <c r="P986" s="28">
        <v>0.66</v>
      </c>
      <c r="Q986" s="28">
        <v>10.29</v>
      </c>
      <c r="R986" s="26"/>
      <c r="S986" s="26"/>
      <c r="T986" s="26"/>
      <c r="U986" s="26"/>
    </row>
    <row r="987" spans="1:21" x14ac:dyDescent="0.3">
      <c r="A987" s="26"/>
      <c r="B987" s="29">
        <v>45293</v>
      </c>
      <c r="C987" s="28" t="s">
        <v>11</v>
      </c>
      <c r="D987" s="28" t="s">
        <v>72</v>
      </c>
      <c r="E987" s="28" t="s">
        <v>47</v>
      </c>
      <c r="F987" s="28" t="s">
        <v>37</v>
      </c>
      <c r="G987" s="28" t="s">
        <v>32</v>
      </c>
      <c r="H987" s="28" t="s">
        <v>85</v>
      </c>
      <c r="I987" s="28">
        <v>4950</v>
      </c>
      <c r="J987" s="28">
        <v>152000</v>
      </c>
      <c r="K987" s="28">
        <v>6080</v>
      </c>
      <c r="L987" s="28">
        <v>304</v>
      </c>
      <c r="M987" s="28">
        <v>0.05</v>
      </c>
      <c r="N987" s="28">
        <v>45600</v>
      </c>
      <c r="O987" s="28">
        <v>0.04</v>
      </c>
      <c r="P987" s="28">
        <v>0.81</v>
      </c>
      <c r="Q987" s="28">
        <v>8.2100000000000009</v>
      </c>
      <c r="R987" s="26"/>
      <c r="S987" s="26"/>
      <c r="T987" s="26"/>
      <c r="U987" s="26"/>
    </row>
    <row r="988" spans="1:21" x14ac:dyDescent="0.3">
      <c r="A988" s="26"/>
      <c r="B988" s="29">
        <v>45300</v>
      </c>
      <c r="C988" s="28" t="s">
        <v>10</v>
      </c>
      <c r="D988" s="28" t="s">
        <v>76</v>
      </c>
      <c r="E988" s="28" t="s">
        <v>49</v>
      </c>
      <c r="F988" s="28" t="s">
        <v>40</v>
      </c>
      <c r="G988" s="28" t="s">
        <v>31</v>
      </c>
      <c r="H988" s="28" t="s">
        <v>85</v>
      </c>
      <c r="I988" s="28">
        <v>4750</v>
      </c>
      <c r="J988" s="28">
        <v>143000</v>
      </c>
      <c r="K988" s="28">
        <v>7150</v>
      </c>
      <c r="L988" s="28">
        <v>358</v>
      </c>
      <c r="M988" s="28">
        <v>0.05</v>
      </c>
      <c r="N988" s="28">
        <v>53625</v>
      </c>
      <c r="O988" s="28">
        <v>0.05</v>
      </c>
      <c r="P988" s="28">
        <v>0.66</v>
      </c>
      <c r="Q988" s="28">
        <v>10.29</v>
      </c>
      <c r="R988" s="26"/>
      <c r="S988" s="26"/>
      <c r="T988" s="26"/>
      <c r="U988" s="26"/>
    </row>
    <row r="989" spans="1:21" x14ac:dyDescent="0.3">
      <c r="A989" s="26"/>
      <c r="B989" s="29">
        <v>45307</v>
      </c>
      <c r="C989" s="28" t="s">
        <v>13</v>
      </c>
      <c r="D989" s="28" t="s">
        <v>81</v>
      </c>
      <c r="E989" s="28" t="s">
        <v>48</v>
      </c>
      <c r="F989" s="28" t="s">
        <v>45</v>
      </c>
      <c r="G989" s="28" t="s">
        <v>30</v>
      </c>
      <c r="H989" s="28" t="s">
        <v>85</v>
      </c>
      <c r="I989" s="28">
        <v>6800</v>
      </c>
      <c r="J989" s="28">
        <v>71000</v>
      </c>
      <c r="K989" s="28">
        <v>2130</v>
      </c>
      <c r="L989" s="28">
        <v>106</v>
      </c>
      <c r="M989" s="28">
        <v>0.05</v>
      </c>
      <c r="N989" s="28">
        <v>26625</v>
      </c>
      <c r="O989" s="28">
        <v>0.03</v>
      </c>
      <c r="P989" s="28">
        <v>3.19</v>
      </c>
      <c r="Q989" s="28">
        <v>2.92</v>
      </c>
      <c r="R989" s="26"/>
      <c r="S989" s="26"/>
      <c r="T989" s="26"/>
      <c r="U989" s="26"/>
    </row>
    <row r="990" spans="1:21" x14ac:dyDescent="0.3">
      <c r="A990" s="26"/>
      <c r="B990" s="29">
        <v>45314</v>
      </c>
      <c r="C990" s="28" t="s">
        <v>11</v>
      </c>
      <c r="D990" s="28" t="s">
        <v>79</v>
      </c>
      <c r="E990" s="28" t="s">
        <v>47</v>
      </c>
      <c r="F990" s="28" t="s">
        <v>41</v>
      </c>
      <c r="G990" s="28" t="s">
        <v>33</v>
      </c>
      <c r="H990" s="28" t="s">
        <v>85</v>
      </c>
      <c r="I990" s="28">
        <v>4550</v>
      </c>
      <c r="J990" s="28">
        <v>138000</v>
      </c>
      <c r="K990" s="28">
        <v>5520</v>
      </c>
      <c r="L990" s="28">
        <v>276</v>
      </c>
      <c r="M990" s="28">
        <v>0.05</v>
      </c>
      <c r="N990" s="28">
        <v>41400</v>
      </c>
      <c r="O990" s="28">
        <v>0.04</v>
      </c>
      <c r="P990" s="28">
        <v>0.82</v>
      </c>
      <c r="Q990" s="28">
        <v>8.1</v>
      </c>
      <c r="R990" s="26"/>
      <c r="S990" s="26"/>
      <c r="T990" s="26"/>
      <c r="U990" s="26"/>
    </row>
    <row r="991" spans="1:21" x14ac:dyDescent="0.3">
      <c r="A991" s="26"/>
      <c r="B991" s="29">
        <v>45321</v>
      </c>
      <c r="C991" s="28" t="s">
        <v>13</v>
      </c>
      <c r="D991" s="28" t="s">
        <v>67</v>
      </c>
      <c r="E991" s="28" t="s">
        <v>48</v>
      </c>
      <c r="F991" s="28" t="s">
        <v>44</v>
      </c>
      <c r="G991" s="28" t="s">
        <v>31</v>
      </c>
      <c r="H991" s="28" t="s">
        <v>85</v>
      </c>
      <c r="I991" s="28">
        <v>4850</v>
      </c>
      <c r="J991" s="28">
        <v>146000</v>
      </c>
      <c r="K991" s="28">
        <v>7300</v>
      </c>
      <c r="L991" s="28">
        <v>365</v>
      </c>
      <c r="M991" s="28">
        <v>0.05</v>
      </c>
      <c r="N991" s="28">
        <v>54750</v>
      </c>
      <c r="O991" s="28">
        <v>0.05</v>
      </c>
      <c r="P991" s="28">
        <v>0.66</v>
      </c>
      <c r="Q991" s="28">
        <v>10.29</v>
      </c>
      <c r="R991" s="26"/>
      <c r="S991" s="26"/>
      <c r="T991" s="26"/>
      <c r="U991" s="26"/>
    </row>
    <row r="992" spans="1:21" x14ac:dyDescent="0.3">
      <c r="A992" s="26"/>
      <c r="B992" s="29">
        <v>45328</v>
      </c>
      <c r="C992" s="28" t="s">
        <v>13</v>
      </c>
      <c r="D992" s="28" t="s">
        <v>65</v>
      </c>
      <c r="E992" s="28" t="s">
        <v>47</v>
      </c>
      <c r="F992" s="28" t="s">
        <v>41</v>
      </c>
      <c r="G992" s="28" t="s">
        <v>32</v>
      </c>
      <c r="H992" s="28" t="s">
        <v>85</v>
      </c>
      <c r="I992" s="28">
        <v>5050</v>
      </c>
      <c r="J992" s="28">
        <v>155000</v>
      </c>
      <c r="K992" s="28">
        <v>6200</v>
      </c>
      <c r="L992" s="28">
        <v>310</v>
      </c>
      <c r="M992" s="28">
        <v>0.05</v>
      </c>
      <c r="N992" s="28">
        <v>46500</v>
      </c>
      <c r="O992" s="28">
        <v>0.04</v>
      </c>
      <c r="P992" s="28">
        <v>0.81</v>
      </c>
      <c r="Q992" s="28">
        <v>8.2100000000000009</v>
      </c>
      <c r="R992" s="26"/>
      <c r="S992" s="26"/>
      <c r="T992" s="26"/>
      <c r="U992" s="26"/>
    </row>
    <row r="993" spans="1:21" x14ac:dyDescent="0.3">
      <c r="A993" s="26"/>
      <c r="B993" s="29">
        <v>45335</v>
      </c>
      <c r="C993" s="28" t="s">
        <v>10</v>
      </c>
      <c r="D993" s="28" t="s">
        <v>77</v>
      </c>
      <c r="E993" s="28" t="s">
        <v>49</v>
      </c>
      <c r="F993" s="28" t="s">
        <v>40</v>
      </c>
      <c r="G993" s="28" t="s">
        <v>31</v>
      </c>
      <c r="H993" s="28" t="s">
        <v>85</v>
      </c>
      <c r="I993" s="28">
        <v>4950</v>
      </c>
      <c r="J993" s="28">
        <v>149000</v>
      </c>
      <c r="K993" s="28">
        <v>7450</v>
      </c>
      <c r="L993" s="28">
        <v>372</v>
      </c>
      <c r="M993" s="28">
        <v>0.05</v>
      </c>
      <c r="N993" s="28">
        <v>55875</v>
      </c>
      <c r="O993" s="28">
        <v>0.05</v>
      </c>
      <c r="P993" s="28">
        <v>0.66</v>
      </c>
      <c r="Q993" s="28">
        <v>10.29</v>
      </c>
      <c r="R993" s="26"/>
      <c r="S993" s="26"/>
      <c r="T993" s="26"/>
      <c r="U993" s="26"/>
    </row>
    <row r="994" spans="1:21" x14ac:dyDescent="0.3">
      <c r="A994" s="26"/>
      <c r="B994" s="29">
        <v>45342</v>
      </c>
      <c r="C994" s="28" t="s">
        <v>13</v>
      </c>
      <c r="D994" s="28" t="s">
        <v>84</v>
      </c>
      <c r="E994" s="28" t="s">
        <v>48</v>
      </c>
      <c r="F994" s="28" t="s">
        <v>45</v>
      </c>
      <c r="G994" s="28" t="s">
        <v>30</v>
      </c>
      <c r="H994" s="28" t="s">
        <v>85</v>
      </c>
      <c r="I994" s="28">
        <v>6900</v>
      </c>
      <c r="J994" s="28">
        <v>72000</v>
      </c>
      <c r="K994" s="28">
        <v>2160</v>
      </c>
      <c r="L994" s="28">
        <v>108</v>
      </c>
      <c r="M994" s="28">
        <v>0.05</v>
      </c>
      <c r="N994" s="28">
        <v>27000</v>
      </c>
      <c r="O994" s="28">
        <v>0.03</v>
      </c>
      <c r="P994" s="28">
        <v>3.19</v>
      </c>
      <c r="Q994" s="28">
        <v>2.91</v>
      </c>
      <c r="R994" s="26"/>
      <c r="S994" s="26"/>
      <c r="T994" s="26"/>
      <c r="U994" s="26"/>
    </row>
    <row r="995" spans="1:21" x14ac:dyDescent="0.3">
      <c r="A995" s="26"/>
      <c r="B995" s="29">
        <v>45349</v>
      </c>
      <c r="C995" s="28" t="s">
        <v>11</v>
      </c>
      <c r="D995" s="28" t="s">
        <v>72</v>
      </c>
      <c r="E995" s="28" t="s">
        <v>47</v>
      </c>
      <c r="F995" s="28" t="s">
        <v>42</v>
      </c>
      <c r="G995" s="28" t="s">
        <v>33</v>
      </c>
      <c r="H995" s="28" t="s">
        <v>85</v>
      </c>
      <c r="I995" s="28">
        <v>4650</v>
      </c>
      <c r="J995" s="28">
        <v>141000</v>
      </c>
      <c r="K995" s="28">
        <v>5640</v>
      </c>
      <c r="L995" s="28">
        <v>282</v>
      </c>
      <c r="M995" s="28">
        <v>0.05</v>
      </c>
      <c r="N995" s="28">
        <v>42300</v>
      </c>
      <c r="O995" s="28">
        <v>0.04</v>
      </c>
      <c r="P995" s="28">
        <v>0.82</v>
      </c>
      <c r="Q995" s="28">
        <v>8.1</v>
      </c>
      <c r="R995" s="26"/>
      <c r="S995" s="26"/>
      <c r="T995" s="26"/>
      <c r="U995" s="26"/>
    </row>
    <row r="996" spans="1:21" x14ac:dyDescent="0.3">
      <c r="A996" s="26"/>
      <c r="B996" s="29">
        <v>45356</v>
      </c>
      <c r="C996" s="28" t="s">
        <v>13</v>
      </c>
      <c r="D996" s="28" t="s">
        <v>71</v>
      </c>
      <c r="E996" s="28" t="s">
        <v>48</v>
      </c>
      <c r="F996" s="28" t="s">
        <v>44</v>
      </c>
      <c r="G996" s="28" t="s">
        <v>31</v>
      </c>
      <c r="H996" s="28" t="s">
        <v>85</v>
      </c>
      <c r="I996" s="28">
        <v>5050</v>
      </c>
      <c r="J996" s="28">
        <v>152000</v>
      </c>
      <c r="K996" s="28">
        <v>7600</v>
      </c>
      <c r="L996" s="28">
        <v>380</v>
      </c>
      <c r="M996" s="28">
        <v>0.05</v>
      </c>
      <c r="N996" s="28">
        <v>57000</v>
      </c>
      <c r="O996" s="28">
        <v>0.05</v>
      </c>
      <c r="P996" s="28">
        <v>0.66</v>
      </c>
      <c r="Q996" s="28">
        <v>10.29</v>
      </c>
      <c r="R996" s="26"/>
      <c r="S996" s="26"/>
      <c r="T996" s="26"/>
      <c r="U996" s="26"/>
    </row>
    <row r="997" spans="1:21" x14ac:dyDescent="0.3">
      <c r="A997" s="26"/>
      <c r="B997" s="29">
        <v>45363</v>
      </c>
      <c r="C997" s="28" t="s">
        <v>10</v>
      </c>
      <c r="D997" s="28" t="s">
        <v>66</v>
      </c>
      <c r="E997" s="28" t="s">
        <v>48</v>
      </c>
      <c r="F997" s="28" t="s">
        <v>45</v>
      </c>
      <c r="G997" s="28" t="s">
        <v>32</v>
      </c>
      <c r="H997" s="28" t="s">
        <v>86</v>
      </c>
      <c r="I997" s="28">
        <v>5150</v>
      </c>
      <c r="J997" s="28">
        <v>158000</v>
      </c>
      <c r="K997" s="28">
        <v>6320</v>
      </c>
      <c r="L997" s="28">
        <v>316</v>
      </c>
      <c r="M997" s="28">
        <v>0.05</v>
      </c>
      <c r="N997" s="28">
        <v>47400</v>
      </c>
      <c r="O997" s="28">
        <v>0.04</v>
      </c>
      <c r="P997" s="28">
        <v>0.81</v>
      </c>
      <c r="Q997" s="28">
        <v>8.1999999999999993</v>
      </c>
      <c r="R997" s="26"/>
      <c r="S997" s="26"/>
      <c r="T997" s="26"/>
      <c r="U997" s="26"/>
    </row>
    <row r="998" spans="1:21" x14ac:dyDescent="0.3">
      <c r="A998" s="26"/>
      <c r="B998" s="29">
        <v>45370</v>
      </c>
      <c r="C998" s="28" t="s">
        <v>11</v>
      </c>
      <c r="D998" s="28" t="s">
        <v>81</v>
      </c>
      <c r="E998" s="28" t="s">
        <v>48</v>
      </c>
      <c r="F998" s="28" t="s">
        <v>41</v>
      </c>
      <c r="G998" s="28" t="s">
        <v>31</v>
      </c>
      <c r="H998" s="28" t="s">
        <v>86</v>
      </c>
      <c r="I998" s="28">
        <v>5150</v>
      </c>
      <c r="J998" s="28">
        <v>155000</v>
      </c>
      <c r="K998" s="28">
        <v>7750</v>
      </c>
      <c r="L998" s="28">
        <v>388</v>
      </c>
      <c r="M998" s="28">
        <v>0.05</v>
      </c>
      <c r="N998" s="28">
        <v>58125</v>
      </c>
      <c r="O998" s="28">
        <v>0.05</v>
      </c>
      <c r="P998" s="28">
        <v>0.66</v>
      </c>
      <c r="Q998" s="28">
        <v>10.29</v>
      </c>
      <c r="R998" s="26"/>
      <c r="S998" s="26"/>
      <c r="T998" s="26"/>
      <c r="U998" s="26"/>
    </row>
    <row r="999" spans="1:21" x14ac:dyDescent="0.3">
      <c r="A999" s="26"/>
      <c r="B999" s="29">
        <v>45377</v>
      </c>
      <c r="C999" s="28" t="s">
        <v>11</v>
      </c>
      <c r="D999" s="28" t="s">
        <v>65</v>
      </c>
      <c r="E999" s="28" t="s">
        <v>47</v>
      </c>
      <c r="F999" s="28" t="s">
        <v>42</v>
      </c>
      <c r="G999" s="28" t="s">
        <v>30</v>
      </c>
      <c r="H999" s="28" t="s">
        <v>86</v>
      </c>
      <c r="I999" s="28">
        <v>7000</v>
      </c>
      <c r="J999" s="28">
        <v>73000</v>
      </c>
      <c r="K999" s="28">
        <v>2190</v>
      </c>
      <c r="L999" s="28">
        <v>110</v>
      </c>
      <c r="M999" s="28">
        <v>0.05</v>
      </c>
      <c r="N999" s="28">
        <v>27375</v>
      </c>
      <c r="O999" s="28">
        <v>0.03</v>
      </c>
      <c r="P999" s="28">
        <v>3.2</v>
      </c>
      <c r="Q999" s="28">
        <v>2.91</v>
      </c>
      <c r="R999" s="26"/>
      <c r="S999" s="26"/>
      <c r="T999" s="26"/>
      <c r="U999" s="26"/>
    </row>
    <row r="1000" spans="1:21" x14ac:dyDescent="0.3">
      <c r="A1000" s="26"/>
      <c r="B1000" s="29">
        <v>45384</v>
      </c>
      <c r="C1000" s="28" t="s">
        <v>11</v>
      </c>
      <c r="D1000" s="28" t="s">
        <v>79</v>
      </c>
      <c r="E1000" s="28" t="s">
        <v>47</v>
      </c>
      <c r="F1000" s="28" t="s">
        <v>37</v>
      </c>
      <c r="G1000" s="28" t="s">
        <v>33</v>
      </c>
      <c r="H1000" s="28" t="s">
        <v>86</v>
      </c>
      <c r="I1000" s="28">
        <v>4750</v>
      </c>
      <c r="J1000" s="28">
        <v>144000</v>
      </c>
      <c r="K1000" s="28">
        <v>5760</v>
      </c>
      <c r="L1000" s="28">
        <v>288</v>
      </c>
      <c r="M1000" s="28">
        <v>0.05</v>
      </c>
      <c r="N1000" s="28">
        <v>43200</v>
      </c>
      <c r="O1000" s="28">
        <v>0.04</v>
      </c>
      <c r="P1000" s="28">
        <v>0.82</v>
      </c>
      <c r="Q1000" s="28">
        <v>8.09</v>
      </c>
      <c r="R1000" s="26"/>
      <c r="S1000" s="26"/>
      <c r="T1000" s="26"/>
      <c r="U1000" s="26"/>
    </row>
    <row r="1001" spans="1:21" x14ac:dyDescent="0.3">
      <c r="A1001" s="26"/>
      <c r="B1001" s="29">
        <v>45391</v>
      </c>
      <c r="C1001" s="28" t="s">
        <v>12</v>
      </c>
      <c r="D1001" s="28" t="s">
        <v>65</v>
      </c>
      <c r="E1001" s="28" t="s">
        <v>47</v>
      </c>
      <c r="F1001" s="28" t="s">
        <v>45</v>
      </c>
      <c r="G1001" s="28" t="s">
        <v>31</v>
      </c>
      <c r="H1001" s="28" t="s">
        <v>86</v>
      </c>
      <c r="I1001" s="28">
        <v>5250</v>
      </c>
      <c r="J1001" s="28">
        <v>158000</v>
      </c>
      <c r="K1001" s="28">
        <v>7900</v>
      </c>
      <c r="L1001" s="28">
        <v>395</v>
      </c>
      <c r="M1001" s="28">
        <v>0.05</v>
      </c>
      <c r="N1001" s="28">
        <v>59250</v>
      </c>
      <c r="O1001" s="28">
        <v>0.05</v>
      </c>
      <c r="P1001" s="28">
        <v>0.66</v>
      </c>
      <c r="Q1001" s="28">
        <v>10.29</v>
      </c>
      <c r="R1001" s="26"/>
      <c r="S1001" s="26"/>
      <c r="T1001" s="26"/>
      <c r="U1001" s="26"/>
    </row>
    <row r="1002" spans="1:21" x14ac:dyDescent="0.3">
      <c r="A1002" s="26"/>
      <c r="B1002" s="29">
        <v>45398</v>
      </c>
      <c r="C1002" s="28" t="s">
        <v>12</v>
      </c>
      <c r="D1002" s="28" t="s">
        <v>81</v>
      </c>
      <c r="E1002" s="28" t="s">
        <v>48</v>
      </c>
      <c r="F1002" s="28" t="s">
        <v>45</v>
      </c>
      <c r="G1002" s="28" t="s">
        <v>32</v>
      </c>
      <c r="H1002" s="28" t="s">
        <v>86</v>
      </c>
      <c r="I1002" s="28">
        <v>5250</v>
      </c>
      <c r="J1002" s="28">
        <v>161000</v>
      </c>
      <c r="K1002" s="28">
        <v>6440</v>
      </c>
      <c r="L1002" s="28">
        <v>322</v>
      </c>
      <c r="M1002" s="28">
        <v>0.05</v>
      </c>
      <c r="N1002" s="28">
        <v>48300</v>
      </c>
      <c r="O1002" s="28">
        <v>0.04</v>
      </c>
      <c r="P1002" s="28">
        <v>0.82</v>
      </c>
      <c r="Q1002" s="28">
        <v>8.1999999999999993</v>
      </c>
      <c r="R1002" s="26"/>
      <c r="S1002" s="26"/>
      <c r="T1002" s="26"/>
      <c r="U1002" s="26"/>
    </row>
    <row r="1003" spans="1:21" x14ac:dyDescent="0.3">
      <c r="A1003" s="26"/>
      <c r="B1003" s="29">
        <v>45405</v>
      </c>
      <c r="C1003" s="28" t="s">
        <v>12</v>
      </c>
      <c r="D1003" s="28" t="s">
        <v>70</v>
      </c>
      <c r="E1003" s="28" t="s">
        <v>49</v>
      </c>
      <c r="F1003" s="28" t="s">
        <v>44</v>
      </c>
      <c r="G1003" s="28" t="s">
        <v>31</v>
      </c>
      <c r="H1003" s="28" t="s">
        <v>86</v>
      </c>
      <c r="I1003" s="28">
        <v>5350</v>
      </c>
      <c r="J1003" s="28">
        <v>161000</v>
      </c>
      <c r="K1003" s="28">
        <v>8050</v>
      </c>
      <c r="L1003" s="28">
        <v>402</v>
      </c>
      <c r="M1003" s="28">
        <v>0.05</v>
      </c>
      <c r="N1003" s="28">
        <v>60375</v>
      </c>
      <c r="O1003" s="28">
        <v>0.05</v>
      </c>
      <c r="P1003" s="28">
        <v>0.66</v>
      </c>
      <c r="Q1003" s="28">
        <v>10.28</v>
      </c>
      <c r="R1003" s="26"/>
      <c r="S1003" s="26"/>
      <c r="T1003" s="26"/>
      <c r="U1003" s="26"/>
    </row>
    <row r="1004" spans="1:21" x14ac:dyDescent="0.3">
      <c r="A1004" s="26"/>
      <c r="B1004" s="29">
        <v>45412</v>
      </c>
      <c r="C1004" s="28" t="s">
        <v>11</v>
      </c>
      <c r="D1004" s="28" t="s">
        <v>83</v>
      </c>
      <c r="E1004" s="28" t="s">
        <v>49</v>
      </c>
      <c r="F1004" s="28" t="s">
        <v>40</v>
      </c>
      <c r="G1004" s="28" t="s">
        <v>30</v>
      </c>
      <c r="H1004" s="28" t="s">
        <v>86</v>
      </c>
      <c r="I1004" s="28">
        <v>7100</v>
      </c>
      <c r="J1004" s="28">
        <v>74000</v>
      </c>
      <c r="K1004" s="28">
        <v>2220</v>
      </c>
      <c r="L1004" s="28">
        <v>111</v>
      </c>
      <c r="M1004" s="28">
        <v>0.05</v>
      </c>
      <c r="N1004" s="28">
        <v>27750</v>
      </c>
      <c r="O1004" s="28">
        <v>0.03</v>
      </c>
      <c r="P1004" s="28">
        <v>3.2</v>
      </c>
      <c r="Q1004" s="28">
        <v>2.91</v>
      </c>
      <c r="R1004" s="26"/>
      <c r="S1004" s="26"/>
      <c r="T1004" s="26"/>
      <c r="U1004" s="26"/>
    </row>
    <row r="1005" spans="1:21" x14ac:dyDescent="0.3">
      <c r="A1005" s="26"/>
      <c r="B1005" s="29">
        <v>45419</v>
      </c>
      <c r="C1005" s="28" t="s">
        <v>12</v>
      </c>
      <c r="D1005" s="28" t="s">
        <v>77</v>
      </c>
      <c r="E1005" s="28" t="s">
        <v>49</v>
      </c>
      <c r="F1005" s="28" t="s">
        <v>35</v>
      </c>
      <c r="G1005" s="28" t="s">
        <v>33</v>
      </c>
      <c r="H1005" s="28" t="s">
        <v>86</v>
      </c>
      <c r="I1005" s="28">
        <v>4850</v>
      </c>
      <c r="J1005" s="28">
        <v>147000</v>
      </c>
      <c r="K1005" s="28">
        <v>5880</v>
      </c>
      <c r="L1005" s="28">
        <v>294</v>
      </c>
      <c r="M1005" s="28">
        <v>0.05</v>
      </c>
      <c r="N1005" s="28">
        <v>44100</v>
      </c>
      <c r="O1005" s="28">
        <v>0.04</v>
      </c>
      <c r="P1005" s="28">
        <v>0.82</v>
      </c>
      <c r="Q1005" s="28">
        <v>8.09</v>
      </c>
      <c r="R1005" s="26"/>
      <c r="S1005" s="26"/>
      <c r="T1005" s="26"/>
      <c r="U1005" s="26"/>
    </row>
    <row r="1006" spans="1:21" x14ac:dyDescent="0.3">
      <c r="A1006" s="26"/>
      <c r="B1006" s="29">
        <v>45426</v>
      </c>
      <c r="C1006" s="28" t="s">
        <v>12</v>
      </c>
      <c r="D1006" s="28" t="s">
        <v>66</v>
      </c>
      <c r="E1006" s="28" t="s">
        <v>48</v>
      </c>
      <c r="F1006" s="28" t="s">
        <v>45</v>
      </c>
      <c r="G1006" s="28" t="s">
        <v>31</v>
      </c>
      <c r="H1006" s="28" t="s">
        <v>86</v>
      </c>
      <c r="I1006" s="28">
        <v>5450</v>
      </c>
      <c r="J1006" s="28">
        <v>164000</v>
      </c>
      <c r="K1006" s="28">
        <v>8200</v>
      </c>
      <c r="L1006" s="28">
        <v>410</v>
      </c>
      <c r="M1006" s="28">
        <v>0.05</v>
      </c>
      <c r="N1006" s="28">
        <v>61500</v>
      </c>
      <c r="O1006" s="28">
        <v>0.05</v>
      </c>
      <c r="P1006" s="28">
        <v>0.66</v>
      </c>
      <c r="Q1006" s="28">
        <v>10.28</v>
      </c>
      <c r="R1006" s="26"/>
      <c r="S1006" s="26"/>
      <c r="T1006" s="26"/>
      <c r="U1006" s="26"/>
    </row>
    <row r="1007" spans="1:21" x14ac:dyDescent="0.3">
      <c r="A1007" s="26"/>
      <c r="B1007" s="29">
        <v>45433</v>
      </c>
      <c r="C1007" s="28" t="s">
        <v>11</v>
      </c>
      <c r="D1007" s="28" t="s">
        <v>72</v>
      </c>
      <c r="E1007" s="28" t="s">
        <v>47</v>
      </c>
      <c r="F1007" s="28" t="s">
        <v>36</v>
      </c>
      <c r="G1007" s="28" t="s">
        <v>32</v>
      </c>
      <c r="H1007" s="28" t="s">
        <v>86</v>
      </c>
      <c r="I1007" s="28">
        <v>5350</v>
      </c>
      <c r="J1007" s="28">
        <v>164000</v>
      </c>
      <c r="K1007" s="28">
        <v>6560</v>
      </c>
      <c r="L1007" s="28">
        <v>328</v>
      </c>
      <c r="M1007" s="28">
        <v>0.05</v>
      </c>
      <c r="N1007" s="28">
        <v>49200</v>
      </c>
      <c r="O1007" s="28">
        <v>0.04</v>
      </c>
      <c r="P1007" s="28">
        <v>0.82</v>
      </c>
      <c r="Q1007" s="28">
        <v>8.1999999999999993</v>
      </c>
      <c r="R1007" s="26"/>
      <c r="S1007" s="26"/>
      <c r="T1007" s="26"/>
      <c r="U1007" s="26"/>
    </row>
    <row r="1008" spans="1:21" x14ac:dyDescent="0.3">
      <c r="A1008" s="26"/>
      <c r="B1008" s="29">
        <v>45440</v>
      </c>
      <c r="C1008" s="28" t="s">
        <v>10</v>
      </c>
      <c r="D1008" s="28" t="s">
        <v>69</v>
      </c>
      <c r="E1008" s="28" t="s">
        <v>47</v>
      </c>
      <c r="F1008" s="28" t="s">
        <v>41</v>
      </c>
      <c r="G1008" s="28" t="s">
        <v>31</v>
      </c>
      <c r="H1008" s="28" t="s">
        <v>86</v>
      </c>
      <c r="I1008" s="28">
        <v>5550</v>
      </c>
      <c r="J1008" s="28">
        <v>167000</v>
      </c>
      <c r="K1008" s="28">
        <v>8350</v>
      </c>
      <c r="L1008" s="28">
        <v>418</v>
      </c>
      <c r="M1008" s="28">
        <v>0.05</v>
      </c>
      <c r="N1008" s="28">
        <v>62625</v>
      </c>
      <c r="O1008" s="28">
        <v>0.05</v>
      </c>
      <c r="P1008" s="28">
        <v>0.66</v>
      </c>
      <c r="Q1008" s="28">
        <v>10.28</v>
      </c>
      <c r="R1008" s="26"/>
      <c r="S1008" s="26"/>
      <c r="T1008" s="26"/>
      <c r="U1008" s="26"/>
    </row>
    <row r="1009" spans="1:21" x14ac:dyDescent="0.3">
      <c r="A1009" s="26"/>
      <c r="B1009" s="29">
        <v>45447</v>
      </c>
      <c r="C1009" s="28" t="s">
        <v>13</v>
      </c>
      <c r="D1009" s="28" t="s">
        <v>72</v>
      </c>
      <c r="E1009" s="28" t="s">
        <v>47</v>
      </c>
      <c r="F1009" s="28" t="s">
        <v>36</v>
      </c>
      <c r="G1009" s="28" t="s">
        <v>30</v>
      </c>
      <c r="H1009" s="28" t="s">
        <v>86</v>
      </c>
      <c r="I1009" s="28">
        <v>7200</v>
      </c>
      <c r="J1009" s="28">
        <v>75000</v>
      </c>
      <c r="K1009" s="28">
        <v>2250</v>
      </c>
      <c r="L1009" s="28">
        <v>112</v>
      </c>
      <c r="M1009" s="28">
        <v>0.05</v>
      </c>
      <c r="N1009" s="28">
        <v>28125</v>
      </c>
      <c r="O1009" s="28">
        <v>0.03</v>
      </c>
      <c r="P1009" s="28">
        <v>3.2</v>
      </c>
      <c r="Q1009" s="28">
        <v>2.91</v>
      </c>
      <c r="R1009" s="26"/>
      <c r="S1009" s="26"/>
      <c r="T1009" s="26"/>
      <c r="U1009" s="26"/>
    </row>
    <row r="1010" spans="1:21" x14ac:dyDescent="0.3">
      <c r="A1010" s="26"/>
      <c r="B1010" s="29">
        <v>45454</v>
      </c>
      <c r="C1010" s="28" t="s">
        <v>10</v>
      </c>
      <c r="D1010" s="28" t="s">
        <v>82</v>
      </c>
      <c r="E1010" s="28" t="s">
        <v>47</v>
      </c>
      <c r="F1010" s="28" t="s">
        <v>45</v>
      </c>
      <c r="G1010" s="28" t="s">
        <v>33</v>
      </c>
      <c r="H1010" s="28" t="s">
        <v>86</v>
      </c>
      <c r="I1010" s="28">
        <v>4950</v>
      </c>
      <c r="J1010" s="28">
        <v>150000</v>
      </c>
      <c r="K1010" s="28">
        <v>6000</v>
      </c>
      <c r="L1010" s="28">
        <v>300</v>
      </c>
      <c r="M1010" s="28">
        <v>0.05</v>
      </c>
      <c r="N1010" s="28">
        <v>45000</v>
      </c>
      <c r="O1010" s="28">
        <v>0.04</v>
      </c>
      <c r="P1010" s="28">
        <v>0.82</v>
      </c>
      <c r="Q1010" s="28">
        <v>8.09</v>
      </c>
      <c r="R1010" s="26"/>
      <c r="S1010" s="26"/>
      <c r="T1010" s="26"/>
      <c r="U1010" s="26"/>
    </row>
    <row r="1011" spans="1:21" x14ac:dyDescent="0.3">
      <c r="A1011" s="26"/>
      <c r="B1011" s="29">
        <v>45461</v>
      </c>
      <c r="C1011" s="28" t="s">
        <v>11</v>
      </c>
      <c r="D1011" s="28" t="s">
        <v>84</v>
      </c>
      <c r="E1011" s="28" t="s">
        <v>48</v>
      </c>
      <c r="F1011" s="28" t="s">
        <v>45</v>
      </c>
      <c r="G1011" s="28" t="s">
        <v>31</v>
      </c>
      <c r="H1011" s="28" t="s">
        <v>86</v>
      </c>
      <c r="I1011" s="28">
        <v>5650</v>
      </c>
      <c r="J1011" s="28">
        <v>170000</v>
      </c>
      <c r="K1011" s="28">
        <v>8500</v>
      </c>
      <c r="L1011" s="28">
        <v>425</v>
      </c>
      <c r="M1011" s="28">
        <v>0.05</v>
      </c>
      <c r="N1011" s="28">
        <v>63750</v>
      </c>
      <c r="O1011" s="28">
        <v>0.05</v>
      </c>
      <c r="P1011" s="28">
        <v>0.66</v>
      </c>
      <c r="Q1011" s="28">
        <v>10.28</v>
      </c>
      <c r="R1011" s="26"/>
      <c r="S1011" s="26"/>
      <c r="T1011" s="26"/>
      <c r="U1011" s="26"/>
    </row>
    <row r="1012" spans="1:21" x14ac:dyDescent="0.3">
      <c r="A1012" s="26"/>
      <c r="B1012" s="29">
        <v>45468</v>
      </c>
      <c r="C1012" s="28" t="s">
        <v>12</v>
      </c>
      <c r="D1012" s="28" t="s">
        <v>65</v>
      </c>
      <c r="E1012" s="28" t="s">
        <v>47</v>
      </c>
      <c r="F1012" s="28" t="s">
        <v>44</v>
      </c>
      <c r="G1012" s="28" t="s">
        <v>32</v>
      </c>
      <c r="H1012" s="28" t="s">
        <v>87</v>
      </c>
      <c r="I1012" s="28">
        <v>5450</v>
      </c>
      <c r="J1012" s="28">
        <v>167000</v>
      </c>
      <c r="K1012" s="28">
        <v>6680</v>
      </c>
      <c r="L1012" s="28">
        <v>334</v>
      </c>
      <c r="M1012" s="28">
        <v>0.05</v>
      </c>
      <c r="N1012" s="28">
        <v>50100</v>
      </c>
      <c r="O1012" s="28">
        <v>0.04</v>
      </c>
      <c r="P1012" s="28">
        <v>0.82</v>
      </c>
      <c r="Q1012" s="28">
        <v>8.19</v>
      </c>
      <c r="R1012" s="26"/>
      <c r="S1012" s="26"/>
      <c r="T1012" s="26"/>
      <c r="U1012" s="26"/>
    </row>
    <row r="1013" spans="1:21" x14ac:dyDescent="0.3">
      <c r="A1013" s="26"/>
      <c r="B1013" s="29">
        <v>45475</v>
      </c>
      <c r="C1013" s="28" t="s">
        <v>11</v>
      </c>
      <c r="D1013" s="28" t="s">
        <v>73</v>
      </c>
      <c r="E1013" s="28" t="s">
        <v>47</v>
      </c>
      <c r="F1013" s="28" t="s">
        <v>40</v>
      </c>
      <c r="G1013" s="28" t="s">
        <v>31</v>
      </c>
      <c r="H1013" s="28" t="s">
        <v>87</v>
      </c>
      <c r="I1013" s="28">
        <v>5750</v>
      </c>
      <c r="J1013" s="28">
        <v>173000</v>
      </c>
      <c r="K1013" s="28">
        <v>8650</v>
      </c>
      <c r="L1013" s="28">
        <v>432</v>
      </c>
      <c r="M1013" s="28">
        <v>0.05</v>
      </c>
      <c r="N1013" s="28">
        <v>64875</v>
      </c>
      <c r="O1013" s="28">
        <v>0.05</v>
      </c>
      <c r="P1013" s="28">
        <v>0.66</v>
      </c>
      <c r="Q1013" s="28">
        <v>10.28</v>
      </c>
      <c r="R1013" s="26"/>
      <c r="S1013" s="26"/>
      <c r="T1013" s="26"/>
      <c r="U1013" s="26"/>
    </row>
    <row r="1014" spans="1:21" x14ac:dyDescent="0.3">
      <c r="A1014" s="26"/>
      <c r="B1014" s="29">
        <v>45482</v>
      </c>
      <c r="C1014" s="28" t="s">
        <v>12</v>
      </c>
      <c r="D1014" s="28" t="s">
        <v>71</v>
      </c>
      <c r="E1014" s="28" t="s">
        <v>48</v>
      </c>
      <c r="F1014" s="28" t="s">
        <v>43</v>
      </c>
      <c r="G1014" s="28" t="s">
        <v>30</v>
      </c>
      <c r="H1014" s="28" t="s">
        <v>87</v>
      </c>
      <c r="I1014" s="28">
        <v>7300</v>
      </c>
      <c r="J1014" s="28">
        <v>76000</v>
      </c>
      <c r="K1014" s="28">
        <v>2280</v>
      </c>
      <c r="L1014" s="28">
        <v>114</v>
      </c>
      <c r="M1014" s="28">
        <v>0.05</v>
      </c>
      <c r="N1014" s="28">
        <v>28500</v>
      </c>
      <c r="O1014" s="28">
        <v>0.03</v>
      </c>
      <c r="P1014" s="28">
        <v>3.2</v>
      </c>
      <c r="Q1014" s="28">
        <v>2.9</v>
      </c>
      <c r="R1014" s="26"/>
      <c r="S1014" s="26"/>
      <c r="T1014" s="26"/>
      <c r="U1014" s="26"/>
    </row>
    <row r="1015" spans="1:21" x14ac:dyDescent="0.3">
      <c r="A1015" s="26"/>
      <c r="B1015" s="29">
        <v>45489</v>
      </c>
      <c r="C1015" s="28" t="s">
        <v>11</v>
      </c>
      <c r="D1015" s="28" t="s">
        <v>66</v>
      </c>
      <c r="E1015" s="28" t="s">
        <v>48</v>
      </c>
      <c r="F1015" s="28" t="s">
        <v>34</v>
      </c>
      <c r="G1015" s="28" t="s">
        <v>33</v>
      </c>
      <c r="H1015" s="28" t="s">
        <v>87</v>
      </c>
      <c r="I1015" s="28">
        <v>5050</v>
      </c>
      <c r="J1015" s="28">
        <v>153000</v>
      </c>
      <c r="K1015" s="28">
        <v>6120</v>
      </c>
      <c r="L1015" s="28">
        <v>306</v>
      </c>
      <c r="M1015" s="28">
        <v>0.05</v>
      </c>
      <c r="N1015" s="28">
        <v>45900</v>
      </c>
      <c r="O1015" s="28">
        <v>0.04</v>
      </c>
      <c r="P1015" s="28">
        <v>0.82</v>
      </c>
      <c r="Q1015" s="28">
        <v>8.09</v>
      </c>
      <c r="R1015" s="26"/>
      <c r="S1015" s="26"/>
      <c r="T1015" s="26"/>
      <c r="U1015" s="26"/>
    </row>
    <row r="1016" spans="1:21" x14ac:dyDescent="0.3">
      <c r="A1016" s="26"/>
      <c r="B1016" s="29">
        <v>45496</v>
      </c>
      <c r="C1016" s="28" t="s">
        <v>11</v>
      </c>
      <c r="D1016" s="28" t="s">
        <v>71</v>
      </c>
      <c r="E1016" s="28" t="s">
        <v>48</v>
      </c>
      <c r="F1016" s="28" t="s">
        <v>40</v>
      </c>
      <c r="G1016" s="28" t="s">
        <v>31</v>
      </c>
      <c r="H1016" s="28" t="s">
        <v>87</v>
      </c>
      <c r="I1016" s="28">
        <v>5850</v>
      </c>
      <c r="J1016" s="28">
        <v>176000</v>
      </c>
      <c r="K1016" s="28">
        <v>8800</v>
      </c>
      <c r="L1016" s="28">
        <v>440</v>
      </c>
      <c r="M1016" s="28">
        <v>0.05</v>
      </c>
      <c r="N1016" s="28">
        <v>66000</v>
      </c>
      <c r="O1016" s="28">
        <v>0.05</v>
      </c>
      <c r="P1016" s="28">
        <v>0.66</v>
      </c>
      <c r="Q1016" s="28">
        <v>10.28</v>
      </c>
      <c r="R1016" s="26"/>
      <c r="S1016" s="26"/>
      <c r="T1016" s="26"/>
      <c r="U1016" s="26"/>
    </row>
    <row r="1017" spans="1:21" x14ac:dyDescent="0.3">
      <c r="A1017" s="26"/>
      <c r="B1017" s="29">
        <v>45503</v>
      </c>
      <c r="C1017" s="28" t="s">
        <v>10</v>
      </c>
      <c r="D1017" s="28" t="s">
        <v>78</v>
      </c>
      <c r="E1017" s="28" t="s">
        <v>48</v>
      </c>
      <c r="F1017" s="28" t="s">
        <v>40</v>
      </c>
      <c r="G1017" s="28" t="s">
        <v>32</v>
      </c>
      <c r="H1017" s="28" t="s">
        <v>87</v>
      </c>
      <c r="I1017" s="28">
        <v>5550</v>
      </c>
      <c r="J1017" s="28">
        <v>170000</v>
      </c>
      <c r="K1017" s="28">
        <v>6800</v>
      </c>
      <c r="L1017" s="28">
        <v>340</v>
      </c>
      <c r="M1017" s="28">
        <v>0.05</v>
      </c>
      <c r="N1017" s="28">
        <v>51000</v>
      </c>
      <c r="O1017" s="28">
        <v>0.04</v>
      </c>
      <c r="P1017" s="28">
        <v>0.82</v>
      </c>
      <c r="Q1017" s="28">
        <v>8.19</v>
      </c>
      <c r="R1017" s="26"/>
      <c r="S1017" s="26"/>
      <c r="T1017" s="26"/>
      <c r="U1017" s="26"/>
    </row>
    <row r="1018" spans="1:21" x14ac:dyDescent="0.3">
      <c r="A1018" s="26"/>
      <c r="B1018" s="29">
        <v>45510</v>
      </c>
      <c r="C1018" s="28" t="s">
        <v>12</v>
      </c>
      <c r="D1018" s="28" t="s">
        <v>84</v>
      </c>
      <c r="E1018" s="28" t="s">
        <v>48</v>
      </c>
      <c r="F1018" s="28" t="s">
        <v>40</v>
      </c>
      <c r="G1018" s="28" t="s">
        <v>31</v>
      </c>
      <c r="H1018" s="28" t="s">
        <v>87</v>
      </c>
      <c r="I1018" s="28">
        <v>5950</v>
      </c>
      <c r="J1018" s="28">
        <v>179000</v>
      </c>
      <c r="K1018" s="28">
        <v>8950</v>
      </c>
      <c r="L1018" s="28">
        <v>448</v>
      </c>
      <c r="M1018" s="28">
        <v>0.05</v>
      </c>
      <c r="N1018" s="28">
        <v>67125</v>
      </c>
      <c r="O1018" s="28">
        <v>0.05</v>
      </c>
      <c r="P1018" s="28">
        <v>0.66</v>
      </c>
      <c r="Q1018" s="28">
        <v>10.28</v>
      </c>
      <c r="R1018" s="26"/>
      <c r="S1018" s="26"/>
      <c r="T1018" s="26"/>
      <c r="U1018" s="26"/>
    </row>
    <row r="1019" spans="1:21" x14ac:dyDescent="0.3">
      <c r="A1019" s="26"/>
      <c r="B1019" s="29">
        <v>45517</v>
      </c>
      <c r="C1019" s="28" t="s">
        <v>13</v>
      </c>
      <c r="D1019" s="28" t="s">
        <v>67</v>
      </c>
      <c r="E1019" s="28" t="s">
        <v>48</v>
      </c>
      <c r="F1019" s="28" t="s">
        <v>42</v>
      </c>
      <c r="G1019" s="28" t="s">
        <v>30</v>
      </c>
      <c r="H1019" s="28" t="s">
        <v>87</v>
      </c>
      <c r="I1019" s="28">
        <v>7400</v>
      </c>
      <c r="J1019" s="28">
        <v>77000</v>
      </c>
      <c r="K1019" s="28">
        <v>2310</v>
      </c>
      <c r="L1019" s="28">
        <v>116</v>
      </c>
      <c r="M1019" s="28">
        <v>0.05</v>
      </c>
      <c r="N1019" s="28">
        <v>28875</v>
      </c>
      <c r="O1019" s="28">
        <v>0.03</v>
      </c>
      <c r="P1019" s="28">
        <v>3.2</v>
      </c>
      <c r="Q1019" s="28">
        <v>2.9</v>
      </c>
      <c r="R1019" s="26"/>
      <c r="S1019" s="26"/>
      <c r="T1019" s="26"/>
      <c r="U1019" s="26"/>
    </row>
    <row r="1020" spans="1:21" x14ac:dyDescent="0.3">
      <c r="A1020" s="26"/>
      <c r="B1020" s="29">
        <v>45524</v>
      </c>
      <c r="C1020" s="28" t="s">
        <v>12</v>
      </c>
      <c r="D1020" s="28" t="s">
        <v>72</v>
      </c>
      <c r="E1020" s="28" t="s">
        <v>47</v>
      </c>
      <c r="F1020" s="28" t="s">
        <v>45</v>
      </c>
      <c r="G1020" s="28" t="s">
        <v>33</v>
      </c>
      <c r="H1020" s="28" t="s">
        <v>87</v>
      </c>
      <c r="I1020" s="28">
        <v>5150</v>
      </c>
      <c r="J1020" s="28">
        <v>156000</v>
      </c>
      <c r="K1020" s="28">
        <v>6240</v>
      </c>
      <c r="L1020" s="28">
        <v>312</v>
      </c>
      <c r="M1020" s="28">
        <v>0.05</v>
      </c>
      <c r="N1020" s="28">
        <v>46800</v>
      </c>
      <c r="O1020" s="28">
        <v>0.04</v>
      </c>
      <c r="P1020" s="28">
        <v>0.82</v>
      </c>
      <c r="Q1020" s="28">
        <v>8.09</v>
      </c>
      <c r="R1020" s="26"/>
      <c r="S1020" s="26"/>
      <c r="T1020" s="26"/>
      <c r="U1020" s="26"/>
    </row>
    <row r="1021" spans="1:21" x14ac:dyDescent="0.3">
      <c r="A1021" s="26"/>
      <c r="B1021" s="29">
        <v>45531</v>
      </c>
      <c r="C1021" s="28" t="s">
        <v>11</v>
      </c>
      <c r="D1021" s="28" t="s">
        <v>81</v>
      </c>
      <c r="E1021" s="28" t="s">
        <v>48</v>
      </c>
      <c r="F1021" s="28" t="s">
        <v>44</v>
      </c>
      <c r="G1021" s="28" t="s">
        <v>31</v>
      </c>
      <c r="H1021" s="28" t="s">
        <v>87</v>
      </c>
      <c r="I1021" s="28">
        <v>6050</v>
      </c>
      <c r="J1021" s="28">
        <v>182000</v>
      </c>
      <c r="K1021" s="28">
        <v>9100</v>
      </c>
      <c r="L1021" s="28">
        <v>455</v>
      </c>
      <c r="M1021" s="28">
        <v>0.05</v>
      </c>
      <c r="N1021" s="28">
        <v>68250</v>
      </c>
      <c r="O1021" s="28">
        <v>0.05</v>
      </c>
      <c r="P1021" s="28">
        <v>0.66</v>
      </c>
      <c r="Q1021" s="28">
        <v>10.28</v>
      </c>
      <c r="R1021" s="26"/>
      <c r="S1021" s="26"/>
      <c r="T1021" s="26"/>
      <c r="U1021" s="26"/>
    </row>
    <row r="1022" spans="1:21" x14ac:dyDescent="0.3">
      <c r="A1022" s="26"/>
      <c r="B1022" s="29">
        <v>45538</v>
      </c>
      <c r="C1022" s="28" t="s">
        <v>12</v>
      </c>
      <c r="D1022" s="28" t="s">
        <v>69</v>
      </c>
      <c r="E1022" s="28" t="s">
        <v>47</v>
      </c>
      <c r="F1022" s="28" t="s">
        <v>45</v>
      </c>
      <c r="G1022" s="28" t="s">
        <v>32</v>
      </c>
      <c r="H1022" s="28" t="s">
        <v>88</v>
      </c>
      <c r="I1022" s="28">
        <v>5650</v>
      </c>
      <c r="J1022" s="28">
        <v>173000</v>
      </c>
      <c r="K1022" s="28">
        <v>6920</v>
      </c>
      <c r="L1022" s="28">
        <v>346</v>
      </c>
      <c r="M1022" s="28">
        <v>0.05</v>
      </c>
      <c r="N1022" s="28">
        <v>51900</v>
      </c>
      <c r="O1022" s="28">
        <v>0.04</v>
      </c>
      <c r="P1022" s="28">
        <v>0.82</v>
      </c>
      <c r="Q1022" s="28">
        <v>8.19</v>
      </c>
      <c r="R1022" s="26"/>
      <c r="S1022" s="26"/>
      <c r="T1022" s="26"/>
      <c r="U1022" s="26"/>
    </row>
    <row r="1023" spans="1:21" x14ac:dyDescent="0.3">
      <c r="A1023" s="26"/>
      <c r="B1023" s="29">
        <v>45545</v>
      </c>
      <c r="C1023" s="28" t="s">
        <v>13</v>
      </c>
      <c r="D1023" s="28" t="s">
        <v>65</v>
      </c>
      <c r="E1023" s="28" t="s">
        <v>47</v>
      </c>
      <c r="F1023" s="28" t="s">
        <v>40</v>
      </c>
      <c r="G1023" s="28" t="s">
        <v>31</v>
      </c>
      <c r="H1023" s="28" t="s">
        <v>88</v>
      </c>
      <c r="I1023" s="28">
        <v>6150</v>
      </c>
      <c r="J1023" s="28">
        <v>185000</v>
      </c>
      <c r="K1023" s="28">
        <v>9250</v>
      </c>
      <c r="L1023" s="28">
        <v>462</v>
      </c>
      <c r="M1023" s="28">
        <v>0.05</v>
      </c>
      <c r="N1023" s="28">
        <v>69375</v>
      </c>
      <c r="O1023" s="28">
        <v>0.05</v>
      </c>
      <c r="P1023" s="28">
        <v>0.66</v>
      </c>
      <c r="Q1023" s="28">
        <v>10.28</v>
      </c>
      <c r="R1023" s="26"/>
      <c r="S1023" s="26"/>
      <c r="T1023" s="26"/>
      <c r="U1023" s="26"/>
    </row>
    <row r="1024" spans="1:21" x14ac:dyDescent="0.3">
      <c r="A1024" s="26"/>
      <c r="B1024" s="29">
        <v>45552</v>
      </c>
      <c r="C1024" s="28" t="s">
        <v>12</v>
      </c>
      <c r="D1024" s="28" t="s">
        <v>79</v>
      </c>
      <c r="E1024" s="28" t="s">
        <v>47</v>
      </c>
      <c r="F1024" s="28" t="s">
        <v>45</v>
      </c>
      <c r="G1024" s="28" t="s">
        <v>30</v>
      </c>
      <c r="H1024" s="28" t="s">
        <v>88</v>
      </c>
      <c r="I1024" s="28">
        <v>7500</v>
      </c>
      <c r="J1024" s="28">
        <v>78000</v>
      </c>
      <c r="K1024" s="28">
        <v>2340</v>
      </c>
      <c r="L1024" s="28">
        <v>117</v>
      </c>
      <c r="M1024" s="28">
        <v>0.05</v>
      </c>
      <c r="N1024" s="28">
        <v>29250</v>
      </c>
      <c r="O1024" s="28">
        <v>0.03</v>
      </c>
      <c r="P1024" s="28">
        <v>3.21</v>
      </c>
      <c r="Q1024" s="28">
        <v>2.9</v>
      </c>
      <c r="R1024" s="26"/>
      <c r="S1024" s="26"/>
      <c r="T1024" s="26"/>
      <c r="U1024" s="26"/>
    </row>
    <row r="1025" spans="1:21" x14ac:dyDescent="0.3">
      <c r="A1025" s="26"/>
      <c r="B1025" s="29">
        <v>45559</v>
      </c>
      <c r="C1025" s="28" t="s">
        <v>11</v>
      </c>
      <c r="D1025" s="28" t="s">
        <v>70</v>
      </c>
      <c r="E1025" s="28" t="s">
        <v>49</v>
      </c>
      <c r="F1025" s="28" t="s">
        <v>41</v>
      </c>
      <c r="G1025" s="28" t="s">
        <v>33</v>
      </c>
      <c r="H1025" s="28" t="s">
        <v>88</v>
      </c>
      <c r="I1025" s="28">
        <v>5250</v>
      </c>
      <c r="J1025" s="28">
        <v>159000</v>
      </c>
      <c r="K1025" s="28">
        <v>6360</v>
      </c>
      <c r="L1025" s="28">
        <v>318</v>
      </c>
      <c r="M1025" s="28">
        <v>0.05</v>
      </c>
      <c r="N1025" s="28">
        <v>47700</v>
      </c>
      <c r="O1025" s="28">
        <v>0.04</v>
      </c>
      <c r="P1025" s="28">
        <v>0.82</v>
      </c>
      <c r="Q1025" s="28">
        <v>8.09</v>
      </c>
      <c r="R1025" s="26"/>
      <c r="S1025" s="26"/>
      <c r="T1025" s="26"/>
      <c r="U1025" s="26"/>
    </row>
    <row r="1026" spans="1:21" x14ac:dyDescent="0.3">
      <c r="A1026" s="26"/>
      <c r="B1026" s="29">
        <v>45566</v>
      </c>
      <c r="C1026" s="28" t="s">
        <v>13</v>
      </c>
      <c r="D1026" s="28" t="s">
        <v>77</v>
      </c>
      <c r="E1026" s="28" t="s">
        <v>49</v>
      </c>
      <c r="F1026" s="28" t="s">
        <v>41</v>
      </c>
      <c r="G1026" s="28" t="s">
        <v>31</v>
      </c>
      <c r="H1026" s="28" t="s">
        <v>88</v>
      </c>
      <c r="I1026" s="28">
        <v>6250</v>
      </c>
      <c r="J1026" s="28">
        <v>188000</v>
      </c>
      <c r="K1026" s="28">
        <v>9400</v>
      </c>
      <c r="L1026" s="28">
        <v>470</v>
      </c>
      <c r="M1026" s="28">
        <v>0.05</v>
      </c>
      <c r="N1026" s="28">
        <v>70500</v>
      </c>
      <c r="O1026" s="28">
        <v>0.05</v>
      </c>
      <c r="P1026" s="28">
        <v>0.66</v>
      </c>
      <c r="Q1026" s="28">
        <v>10.28</v>
      </c>
      <c r="R1026" s="26"/>
      <c r="S1026" s="26"/>
      <c r="T1026" s="26"/>
      <c r="U1026" s="26"/>
    </row>
    <row r="1027" spans="1:21" x14ac:dyDescent="0.3">
      <c r="A1027" s="26"/>
      <c r="B1027" s="29">
        <v>45573</v>
      </c>
      <c r="C1027" s="28" t="s">
        <v>12</v>
      </c>
      <c r="D1027" s="28" t="s">
        <v>84</v>
      </c>
      <c r="E1027" s="28" t="s">
        <v>48</v>
      </c>
      <c r="F1027" s="28" t="s">
        <v>45</v>
      </c>
      <c r="G1027" s="28" t="s">
        <v>32</v>
      </c>
      <c r="H1027" s="28" t="s">
        <v>88</v>
      </c>
      <c r="I1027" s="28">
        <v>5750</v>
      </c>
      <c r="J1027" s="28">
        <v>176000</v>
      </c>
      <c r="K1027" s="28">
        <v>7040</v>
      </c>
      <c r="L1027" s="28">
        <v>352</v>
      </c>
      <c r="M1027" s="28">
        <v>0.05</v>
      </c>
      <c r="N1027" s="28">
        <v>52800</v>
      </c>
      <c r="O1027" s="28">
        <v>0.04</v>
      </c>
      <c r="P1027" s="28">
        <v>0.82</v>
      </c>
      <c r="Q1027" s="28">
        <v>8.18</v>
      </c>
      <c r="R1027" s="26"/>
      <c r="S1027" s="26"/>
      <c r="T1027" s="26"/>
      <c r="U1027" s="26"/>
    </row>
    <row r="1028" spans="1:21" x14ac:dyDescent="0.3">
      <c r="A1028" s="26"/>
      <c r="B1028" s="29">
        <v>45580</v>
      </c>
      <c r="C1028" s="28" t="s">
        <v>10</v>
      </c>
      <c r="D1028" s="28" t="s">
        <v>78</v>
      </c>
      <c r="E1028" s="28" t="s">
        <v>48</v>
      </c>
      <c r="F1028" s="28" t="s">
        <v>35</v>
      </c>
      <c r="G1028" s="28" t="s">
        <v>31</v>
      </c>
      <c r="H1028" s="28" t="s">
        <v>88</v>
      </c>
      <c r="I1028" s="28">
        <v>6350</v>
      </c>
      <c r="J1028" s="28">
        <v>191000</v>
      </c>
      <c r="K1028" s="28">
        <v>9550</v>
      </c>
      <c r="L1028" s="28">
        <v>478</v>
      </c>
      <c r="M1028" s="28">
        <v>0.05</v>
      </c>
      <c r="N1028" s="28">
        <v>71625</v>
      </c>
      <c r="O1028" s="28">
        <v>0.05</v>
      </c>
      <c r="P1028" s="28">
        <v>0.66</v>
      </c>
      <c r="Q1028" s="28">
        <v>10.28</v>
      </c>
      <c r="R1028" s="26"/>
      <c r="S1028" s="26"/>
      <c r="T1028" s="26"/>
      <c r="U1028" s="26"/>
    </row>
    <row r="1029" spans="1:21" x14ac:dyDescent="0.3">
      <c r="A1029" s="26"/>
      <c r="B1029" s="29">
        <v>45587</v>
      </c>
      <c r="C1029" s="28" t="s">
        <v>13</v>
      </c>
      <c r="D1029" s="28" t="s">
        <v>65</v>
      </c>
      <c r="E1029" s="28" t="s">
        <v>47</v>
      </c>
      <c r="F1029" s="28" t="s">
        <v>40</v>
      </c>
      <c r="G1029" s="28" t="s">
        <v>30</v>
      </c>
      <c r="H1029" s="28" t="s">
        <v>88</v>
      </c>
      <c r="I1029" s="28">
        <v>7600</v>
      </c>
      <c r="J1029" s="28">
        <v>79000</v>
      </c>
      <c r="K1029" s="28">
        <v>2370</v>
      </c>
      <c r="L1029" s="28">
        <v>118</v>
      </c>
      <c r="M1029" s="28">
        <v>0.05</v>
      </c>
      <c r="N1029" s="28">
        <v>29625</v>
      </c>
      <c r="O1029" s="28">
        <v>0.03</v>
      </c>
      <c r="P1029" s="28">
        <v>3.21</v>
      </c>
      <c r="Q1029" s="28">
        <v>2.9</v>
      </c>
      <c r="R1029" s="26"/>
      <c r="S1029" s="26"/>
      <c r="T1029" s="26"/>
      <c r="U1029" s="26"/>
    </row>
    <row r="1030" spans="1:21" x14ac:dyDescent="0.3">
      <c r="A1030" s="26"/>
      <c r="B1030" s="29">
        <v>45594</v>
      </c>
      <c r="C1030" s="28" t="s">
        <v>11</v>
      </c>
      <c r="D1030" s="28" t="s">
        <v>68</v>
      </c>
      <c r="E1030" s="28" t="s">
        <v>47</v>
      </c>
      <c r="F1030" s="28" t="s">
        <v>45</v>
      </c>
      <c r="G1030" s="28" t="s">
        <v>33</v>
      </c>
      <c r="H1030" s="28" t="s">
        <v>88</v>
      </c>
      <c r="I1030" s="28">
        <v>5350</v>
      </c>
      <c r="J1030" s="28">
        <v>162000</v>
      </c>
      <c r="K1030" s="28">
        <v>6480</v>
      </c>
      <c r="L1030" s="28">
        <v>324</v>
      </c>
      <c r="M1030" s="28">
        <v>0.05</v>
      </c>
      <c r="N1030" s="28">
        <v>48600</v>
      </c>
      <c r="O1030" s="28">
        <v>0.04</v>
      </c>
      <c r="P1030" s="28">
        <v>0.82</v>
      </c>
      <c r="Q1030" s="28">
        <v>8.09</v>
      </c>
      <c r="R1030" s="26"/>
      <c r="S1030" s="26"/>
      <c r="T1030" s="26"/>
      <c r="U1030" s="26"/>
    </row>
    <row r="1031" spans="1:21" x14ac:dyDescent="0.3">
      <c r="A1031" s="26"/>
      <c r="B1031" s="29">
        <v>45601</v>
      </c>
      <c r="C1031" s="28" t="s">
        <v>10</v>
      </c>
      <c r="D1031" s="28" t="s">
        <v>74</v>
      </c>
      <c r="E1031" s="28" t="s">
        <v>49</v>
      </c>
      <c r="F1031" s="28" t="s">
        <v>44</v>
      </c>
      <c r="G1031" s="28" t="s">
        <v>31</v>
      </c>
      <c r="H1031" s="28" t="s">
        <v>88</v>
      </c>
      <c r="I1031" s="28">
        <v>6450</v>
      </c>
      <c r="J1031" s="28">
        <v>194000</v>
      </c>
      <c r="K1031" s="28">
        <v>9700</v>
      </c>
      <c r="L1031" s="28">
        <v>485</v>
      </c>
      <c r="M1031" s="28">
        <v>0.05</v>
      </c>
      <c r="N1031" s="28">
        <v>72750</v>
      </c>
      <c r="O1031" s="28">
        <v>0.05</v>
      </c>
      <c r="P1031" s="28">
        <v>0.66</v>
      </c>
      <c r="Q1031" s="28">
        <v>10.28</v>
      </c>
      <c r="R1031" s="26"/>
      <c r="S1031" s="26"/>
      <c r="T1031" s="26"/>
      <c r="U1031" s="26"/>
    </row>
    <row r="1032" spans="1:21" x14ac:dyDescent="0.3">
      <c r="A1032" s="26"/>
      <c r="B1032" s="29">
        <v>45608</v>
      </c>
      <c r="C1032" s="28" t="s">
        <v>11</v>
      </c>
      <c r="D1032" s="28" t="s">
        <v>80</v>
      </c>
      <c r="E1032" s="28" t="s">
        <v>48</v>
      </c>
      <c r="F1032" s="28" t="s">
        <v>41</v>
      </c>
      <c r="G1032" s="28" t="s">
        <v>32</v>
      </c>
      <c r="H1032" s="28" t="s">
        <v>88</v>
      </c>
      <c r="I1032" s="28">
        <v>5850</v>
      </c>
      <c r="J1032" s="28">
        <v>179000</v>
      </c>
      <c r="K1032" s="28">
        <v>7160</v>
      </c>
      <c r="L1032" s="28">
        <v>358</v>
      </c>
      <c r="M1032" s="28">
        <v>0.05</v>
      </c>
      <c r="N1032" s="28">
        <v>53700</v>
      </c>
      <c r="O1032" s="28">
        <v>0.04</v>
      </c>
      <c r="P1032" s="28">
        <v>0.82</v>
      </c>
      <c r="Q1032" s="28">
        <v>8.18</v>
      </c>
      <c r="R1032" s="26"/>
      <c r="S1032" s="26"/>
      <c r="T1032" s="26"/>
      <c r="U1032" s="26"/>
    </row>
    <row r="1033" spans="1:21" x14ac:dyDescent="0.3">
      <c r="A1033" s="26"/>
      <c r="B1033" s="29">
        <v>45615</v>
      </c>
      <c r="C1033" s="28" t="s">
        <v>11</v>
      </c>
      <c r="D1033" s="28" t="s">
        <v>78</v>
      </c>
      <c r="E1033" s="28" t="s">
        <v>48</v>
      </c>
      <c r="F1033" s="28" t="s">
        <v>41</v>
      </c>
      <c r="G1033" s="28" t="s">
        <v>31</v>
      </c>
      <c r="H1033" s="28" t="s">
        <v>88</v>
      </c>
      <c r="I1033" s="28">
        <v>6550</v>
      </c>
      <c r="J1033" s="28">
        <v>197000</v>
      </c>
      <c r="K1033" s="28">
        <v>9850</v>
      </c>
      <c r="L1033" s="28">
        <v>492</v>
      </c>
      <c r="M1033" s="28">
        <v>0.05</v>
      </c>
      <c r="N1033" s="28">
        <v>73875</v>
      </c>
      <c r="O1033" s="28">
        <v>0.05</v>
      </c>
      <c r="P1033" s="28">
        <v>0.66</v>
      </c>
      <c r="Q1033" s="28">
        <v>10.28</v>
      </c>
      <c r="R1033" s="26"/>
      <c r="S1033" s="26"/>
      <c r="T1033" s="26"/>
      <c r="U1033" s="26"/>
    </row>
    <row r="1034" spans="1:21" x14ac:dyDescent="0.3">
      <c r="A1034" s="26"/>
      <c r="B1034" s="29">
        <v>45622</v>
      </c>
      <c r="C1034" s="28" t="s">
        <v>11</v>
      </c>
      <c r="D1034" s="28" t="s">
        <v>79</v>
      </c>
      <c r="E1034" s="28" t="s">
        <v>47</v>
      </c>
      <c r="F1034" s="28" t="s">
        <v>45</v>
      </c>
      <c r="G1034" s="28" t="s">
        <v>30</v>
      </c>
      <c r="H1034" s="28" t="s">
        <v>88</v>
      </c>
      <c r="I1034" s="28">
        <v>7700</v>
      </c>
      <c r="J1034" s="28">
        <v>80000</v>
      </c>
      <c r="K1034" s="28">
        <v>2400</v>
      </c>
      <c r="L1034" s="28">
        <v>120</v>
      </c>
      <c r="M1034" s="28">
        <v>0.05</v>
      </c>
      <c r="N1034" s="28">
        <v>30000</v>
      </c>
      <c r="O1034" s="28">
        <v>0.03</v>
      </c>
      <c r="P1034" s="28">
        <v>3.21</v>
      </c>
      <c r="Q1034" s="28">
        <v>2.9</v>
      </c>
      <c r="R1034" s="26"/>
      <c r="S1034" s="26"/>
      <c r="T1034" s="26"/>
      <c r="U1034" s="26"/>
    </row>
    <row r="1035" spans="1:21" x14ac:dyDescent="0.3">
      <c r="A1035" s="26"/>
      <c r="B1035" s="29">
        <v>45629</v>
      </c>
      <c r="C1035" s="28" t="s">
        <v>11</v>
      </c>
      <c r="D1035" s="28" t="s">
        <v>69</v>
      </c>
      <c r="E1035" s="28" t="s">
        <v>47</v>
      </c>
      <c r="F1035" s="28" t="s">
        <v>41</v>
      </c>
      <c r="G1035" s="28" t="s">
        <v>33</v>
      </c>
      <c r="H1035" s="28" t="s">
        <v>88</v>
      </c>
      <c r="I1035" s="28">
        <v>5450</v>
      </c>
      <c r="J1035" s="28">
        <v>165000</v>
      </c>
      <c r="K1035" s="28">
        <v>6600</v>
      </c>
      <c r="L1035" s="28">
        <v>330</v>
      </c>
      <c r="M1035" s="28">
        <v>0.05</v>
      </c>
      <c r="N1035" s="28">
        <v>49500</v>
      </c>
      <c r="O1035" s="28">
        <v>0.04</v>
      </c>
      <c r="P1035" s="28">
        <v>0.82</v>
      </c>
      <c r="Q1035" s="28">
        <v>8.09</v>
      </c>
      <c r="R1035" s="26"/>
      <c r="S1035" s="26"/>
      <c r="T1035" s="26"/>
      <c r="U1035" s="26"/>
    </row>
    <row r="1036" spans="1:21" x14ac:dyDescent="0.3">
      <c r="A1036" s="26"/>
      <c r="B1036" s="29">
        <v>45636</v>
      </c>
      <c r="C1036" s="28" t="s">
        <v>12</v>
      </c>
      <c r="D1036" s="28" t="s">
        <v>70</v>
      </c>
      <c r="E1036" s="28" t="s">
        <v>49</v>
      </c>
      <c r="F1036" s="28" t="s">
        <v>40</v>
      </c>
      <c r="G1036" s="28" t="s">
        <v>31</v>
      </c>
      <c r="H1036" s="28" t="s">
        <v>88</v>
      </c>
      <c r="I1036" s="28">
        <v>6650</v>
      </c>
      <c r="J1036" s="28">
        <v>200000</v>
      </c>
      <c r="K1036" s="28">
        <v>10000</v>
      </c>
      <c r="L1036" s="28">
        <v>500</v>
      </c>
      <c r="M1036" s="28">
        <v>0.05</v>
      </c>
      <c r="N1036" s="28">
        <v>75000</v>
      </c>
      <c r="O1036" s="28">
        <v>0.05</v>
      </c>
      <c r="P1036" s="28">
        <v>0.67</v>
      </c>
      <c r="Q1036" s="28">
        <v>10.28</v>
      </c>
      <c r="R1036" s="26"/>
      <c r="S1036" s="26"/>
      <c r="T1036" s="26"/>
      <c r="U1036" s="26"/>
    </row>
    <row r="1037" spans="1:21" x14ac:dyDescent="0.3">
      <c r="A1037" s="26"/>
      <c r="B1037" s="29">
        <v>45643</v>
      </c>
      <c r="C1037" s="28" t="s">
        <v>12</v>
      </c>
      <c r="D1037" s="28" t="s">
        <v>73</v>
      </c>
      <c r="E1037" s="28" t="s">
        <v>47</v>
      </c>
      <c r="F1037" s="28" t="s">
        <v>41</v>
      </c>
      <c r="G1037" s="28" t="s">
        <v>32</v>
      </c>
      <c r="H1037" s="28" t="s">
        <v>88</v>
      </c>
      <c r="I1037" s="28">
        <v>5950</v>
      </c>
      <c r="J1037" s="28">
        <v>182000</v>
      </c>
      <c r="K1037" s="28">
        <v>7280</v>
      </c>
      <c r="L1037" s="28">
        <v>364</v>
      </c>
      <c r="M1037" s="28">
        <v>0.05</v>
      </c>
      <c r="N1037" s="28">
        <v>54600</v>
      </c>
      <c r="O1037" s="28">
        <v>0.04</v>
      </c>
      <c r="P1037" s="28">
        <v>0.82</v>
      </c>
      <c r="Q1037" s="28">
        <v>8.18</v>
      </c>
      <c r="R1037" s="26"/>
      <c r="S1037" s="26"/>
      <c r="T1037" s="26"/>
      <c r="U1037" s="26"/>
    </row>
    <row r="1038" spans="1:21" x14ac:dyDescent="0.3">
      <c r="A1038" s="26"/>
      <c r="B1038" s="29">
        <v>45650</v>
      </c>
      <c r="C1038" s="28" t="s">
        <v>13</v>
      </c>
      <c r="D1038" s="28" t="s">
        <v>65</v>
      </c>
      <c r="E1038" s="28" t="s">
        <v>47</v>
      </c>
      <c r="F1038" s="28" t="s">
        <v>42</v>
      </c>
      <c r="G1038" s="28" t="s">
        <v>31</v>
      </c>
      <c r="H1038" s="28" t="s">
        <v>88</v>
      </c>
      <c r="I1038" s="28">
        <v>6750</v>
      </c>
      <c r="J1038" s="28">
        <v>203000</v>
      </c>
      <c r="K1038" s="28">
        <v>10150</v>
      </c>
      <c r="L1038" s="28">
        <v>508</v>
      </c>
      <c r="M1038" s="28">
        <v>0.05</v>
      </c>
      <c r="N1038" s="28">
        <v>76125</v>
      </c>
      <c r="O1038" s="28">
        <v>0.05</v>
      </c>
      <c r="P1038" s="28">
        <v>0.66</v>
      </c>
      <c r="Q1038" s="28">
        <v>10.28</v>
      </c>
      <c r="R1038" s="26"/>
      <c r="S1038" s="26"/>
      <c r="T1038" s="26"/>
      <c r="U1038" s="26"/>
    </row>
    <row r="1039" spans="1:21" x14ac:dyDescent="0.3">
      <c r="A1039" s="26"/>
      <c r="B1039" s="29">
        <v>45657</v>
      </c>
      <c r="C1039" s="28" t="s">
        <v>11</v>
      </c>
      <c r="D1039" s="28" t="s">
        <v>68</v>
      </c>
      <c r="E1039" s="28" t="s">
        <v>47</v>
      </c>
      <c r="F1039" s="28" t="s">
        <v>43</v>
      </c>
      <c r="G1039" s="28" t="s">
        <v>30</v>
      </c>
      <c r="H1039" s="28" t="s">
        <v>88</v>
      </c>
      <c r="I1039" s="28">
        <v>7800</v>
      </c>
      <c r="J1039" s="28">
        <v>81000</v>
      </c>
      <c r="K1039" s="28">
        <v>2430</v>
      </c>
      <c r="L1039" s="28">
        <v>122</v>
      </c>
      <c r="M1039" s="28">
        <v>0.05</v>
      </c>
      <c r="N1039" s="28">
        <v>30375</v>
      </c>
      <c r="O1039" s="28">
        <v>0.03</v>
      </c>
      <c r="P1039" s="28">
        <v>3.21</v>
      </c>
      <c r="Q1039" s="28">
        <v>2.89</v>
      </c>
      <c r="R1039" s="26"/>
      <c r="S1039" s="26"/>
      <c r="T1039" s="26"/>
      <c r="U1039" s="26"/>
    </row>
    <row r="1040" spans="1:21" x14ac:dyDescent="0.3">
      <c r="A1040" s="26"/>
      <c r="B1040" s="26"/>
      <c r="C1040" s="26"/>
      <c r="D1040" s="26"/>
      <c r="E1040" s="26"/>
      <c r="F1040" s="26"/>
      <c r="G1040" s="26"/>
      <c r="H1040" s="26"/>
      <c r="I1040" s="26"/>
      <c r="J1040" s="26"/>
      <c r="K1040" s="26"/>
      <c r="L1040" s="26"/>
      <c r="M1040" s="26"/>
      <c r="N1040" s="26"/>
      <c r="O1040" s="26"/>
      <c r="P1040" s="26"/>
      <c r="Q1040" s="26"/>
      <c r="R1040" s="26"/>
      <c r="S1040" s="26"/>
      <c r="T1040" s="26"/>
      <c r="U1040" s="26"/>
    </row>
    <row r="1041" spans="1:21" x14ac:dyDescent="0.3">
      <c r="A1041" s="26"/>
      <c r="B1041" s="26"/>
      <c r="C1041" s="26"/>
      <c r="D1041" s="26"/>
      <c r="E1041" s="26"/>
      <c r="F1041" s="26"/>
      <c r="G1041" s="26"/>
      <c r="H1041" s="26"/>
      <c r="I1041" s="26"/>
      <c r="J1041" s="26"/>
      <c r="K1041" s="26"/>
      <c r="L1041" s="26"/>
      <c r="M1041" s="26"/>
      <c r="N1041" s="26"/>
      <c r="O1041" s="26"/>
      <c r="P1041" s="26"/>
      <c r="Q1041" s="26"/>
      <c r="R1041" s="26"/>
      <c r="S1041" s="26"/>
      <c r="T1041" s="26"/>
      <c r="U1041" s="26"/>
    </row>
    <row r="1042" spans="1:21" x14ac:dyDescent="0.3">
      <c r="A1042" s="26"/>
      <c r="B1042" s="26"/>
      <c r="C1042" s="26"/>
      <c r="D1042" s="26"/>
      <c r="E1042" s="26"/>
      <c r="F1042" s="26"/>
      <c r="G1042" s="26"/>
      <c r="H1042" s="26"/>
      <c r="I1042" s="26"/>
      <c r="J1042" s="26"/>
      <c r="K1042" s="26"/>
      <c r="L1042" s="26"/>
      <c r="M1042" s="26"/>
      <c r="N1042" s="26"/>
      <c r="O1042" s="26"/>
      <c r="P1042" s="26"/>
      <c r="Q1042" s="26"/>
      <c r="R1042" s="26"/>
      <c r="S1042" s="26"/>
      <c r="T1042" s="26"/>
      <c r="U1042" s="26"/>
    </row>
    <row r="1043" spans="1:21" x14ac:dyDescent="0.3">
      <c r="A1043" s="26"/>
      <c r="B1043" s="26"/>
      <c r="C1043" s="26"/>
      <c r="D1043" s="26"/>
      <c r="E1043" s="26"/>
      <c r="F1043" s="26"/>
      <c r="G1043" s="26"/>
      <c r="H1043" s="26"/>
      <c r="I1043" s="26"/>
      <c r="J1043" s="26"/>
      <c r="K1043" s="26"/>
      <c r="L1043" s="26"/>
      <c r="M1043" s="26"/>
      <c r="N1043" s="26"/>
      <c r="O1043" s="26"/>
      <c r="P1043" s="26"/>
      <c r="Q1043" s="26"/>
      <c r="R1043" s="26"/>
      <c r="S1043" s="26"/>
      <c r="T1043" s="26"/>
      <c r="U1043" s="26"/>
    </row>
    <row r="1044" spans="1:21" x14ac:dyDescent="0.3">
      <c r="A1044" s="26"/>
      <c r="B1044" s="26"/>
      <c r="C1044" s="26"/>
      <c r="D1044" s="26"/>
      <c r="E1044" s="26"/>
      <c r="F1044" s="26"/>
      <c r="G1044" s="26"/>
      <c r="H1044" s="26"/>
      <c r="I1044" s="26"/>
      <c r="J1044" s="26"/>
      <c r="K1044" s="26"/>
      <c r="L1044" s="26"/>
      <c r="M1044" s="26"/>
      <c r="N1044" s="26"/>
      <c r="O1044" s="26"/>
      <c r="P1044" s="26"/>
      <c r="Q1044" s="26"/>
      <c r="R1044" s="26"/>
      <c r="S1044" s="26"/>
      <c r="T1044" s="26"/>
      <c r="U1044" s="26"/>
    </row>
    <row r="1045" spans="1:21" x14ac:dyDescent="0.3">
      <c r="A1045" s="26"/>
      <c r="B1045" s="26"/>
      <c r="C1045" s="26"/>
      <c r="D1045" s="26"/>
      <c r="E1045" s="26"/>
      <c r="F1045" s="26"/>
      <c r="G1045" s="26"/>
      <c r="H1045" s="26"/>
      <c r="I1045" s="26"/>
      <c r="J1045" s="26"/>
      <c r="K1045" s="26"/>
      <c r="L1045" s="26"/>
      <c r="M1045" s="26"/>
      <c r="N1045" s="26"/>
      <c r="O1045" s="26"/>
      <c r="P1045" s="26"/>
      <c r="Q1045" s="26"/>
      <c r="R1045" s="26"/>
      <c r="S1045" s="26"/>
      <c r="T1045" s="26"/>
      <c r="U1045" s="26"/>
    </row>
  </sheetData>
  <mergeCells count="1">
    <mergeCell ref="E3:H4"/>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5E02E-F49A-487C-9533-834C850EC9FF}">
  <dimension ref="B2:M102"/>
  <sheetViews>
    <sheetView showGridLines="0" showRowColHeaders="0" workbookViewId="0"/>
  </sheetViews>
  <sheetFormatPr defaultRowHeight="14.4" x14ac:dyDescent="0.3"/>
  <cols>
    <col min="1" max="1" width="3.88671875" customWidth="1"/>
    <col min="2" max="2" width="38.44140625" customWidth="1"/>
    <col min="3" max="3" width="14.88671875" bestFit="1" customWidth="1"/>
    <col min="4" max="4" width="12.77734375" bestFit="1" customWidth="1"/>
    <col min="5" max="5" width="26.77734375" bestFit="1" customWidth="1"/>
    <col min="6" max="6" width="12.77734375" bestFit="1" customWidth="1"/>
    <col min="7" max="7" width="14.88671875" bestFit="1" customWidth="1"/>
    <col min="8" max="8" width="10.44140625" bestFit="1" customWidth="1"/>
    <col min="9" max="9" width="8.77734375" bestFit="1" customWidth="1"/>
    <col min="10" max="31" width="9.77734375" bestFit="1" customWidth="1"/>
    <col min="32" max="40" width="8.77734375" bestFit="1" customWidth="1"/>
    <col min="41" max="59" width="9.77734375" bestFit="1" customWidth="1"/>
    <col min="60" max="68" width="8.77734375" bestFit="1" customWidth="1"/>
    <col min="69" max="90" width="9.77734375" bestFit="1" customWidth="1"/>
    <col min="91" max="99" width="8.77734375" bestFit="1" customWidth="1"/>
    <col min="100" max="120" width="9.77734375" bestFit="1" customWidth="1"/>
    <col min="121" max="126" width="8.77734375" bestFit="1" customWidth="1"/>
    <col min="127" max="127" width="9" bestFit="1" customWidth="1"/>
    <col min="128" max="129" width="8.77734375" bestFit="1" customWidth="1"/>
    <col min="130" max="151" width="9.77734375" bestFit="1" customWidth="1"/>
    <col min="152" max="160" width="8.77734375" bestFit="1" customWidth="1"/>
    <col min="161" max="181" width="9.77734375" bestFit="1" customWidth="1"/>
    <col min="182" max="189" width="8.77734375" bestFit="1" customWidth="1"/>
    <col min="190" max="190" width="9" bestFit="1" customWidth="1"/>
    <col min="191" max="212" width="9.77734375" bestFit="1" customWidth="1"/>
    <col min="213" max="221" width="8.77734375" bestFit="1" customWidth="1"/>
    <col min="222" max="243" width="9.77734375" bestFit="1" customWidth="1"/>
    <col min="244" max="252" width="8.77734375" bestFit="1" customWidth="1"/>
    <col min="253" max="282" width="9.77734375" bestFit="1" customWidth="1"/>
    <col min="283" max="304" width="10.77734375" bestFit="1" customWidth="1"/>
    <col min="305" max="313" width="9.77734375" bestFit="1" customWidth="1"/>
    <col min="314" max="334" width="10.77734375" bestFit="1" customWidth="1"/>
    <col min="335" max="343" width="9.77734375" bestFit="1" customWidth="1"/>
    <col min="344" max="365" width="10.77734375" bestFit="1" customWidth="1"/>
    <col min="366" max="371" width="8.77734375" bestFit="1" customWidth="1"/>
    <col min="372" max="372" width="9" bestFit="1" customWidth="1"/>
    <col min="373" max="374" width="8.77734375" bestFit="1" customWidth="1"/>
    <col min="375" max="396" width="9.77734375" bestFit="1" customWidth="1"/>
    <col min="397" max="399" width="8.77734375" bestFit="1" customWidth="1"/>
    <col min="400" max="400" width="9" bestFit="1" customWidth="1"/>
    <col min="401" max="405" width="8.77734375" bestFit="1" customWidth="1"/>
    <col min="406" max="425" width="9.77734375" bestFit="1" customWidth="1"/>
    <col min="426" max="427" width="8.77734375" bestFit="1" customWidth="1"/>
    <col min="428" max="428" width="9" bestFit="1" customWidth="1"/>
    <col min="429" max="434" width="8.77734375" bestFit="1" customWidth="1"/>
    <col min="435" max="456" width="9.77734375" bestFit="1" customWidth="1"/>
    <col min="457" max="462" width="8.77734375" bestFit="1" customWidth="1"/>
    <col min="463" max="463" width="9" bestFit="1" customWidth="1"/>
    <col min="464" max="465" width="8.77734375" bestFit="1" customWidth="1"/>
    <col min="466" max="486" width="9.77734375" bestFit="1" customWidth="1"/>
    <col min="487" max="490" width="8.77734375" bestFit="1" customWidth="1"/>
    <col min="491" max="491" width="9" bestFit="1" customWidth="1"/>
    <col min="492" max="495" width="8.77734375" bestFit="1" customWidth="1"/>
    <col min="496" max="517" width="9.77734375" bestFit="1" customWidth="1"/>
    <col min="518" max="518" width="8.77734375" bestFit="1" customWidth="1"/>
    <col min="519" max="519" width="9" bestFit="1" customWidth="1"/>
    <col min="520" max="525" width="8.77734375" bestFit="1" customWidth="1"/>
    <col min="526" max="526" width="9" bestFit="1" customWidth="1"/>
    <col min="527" max="547" width="9.77734375" bestFit="1" customWidth="1"/>
    <col min="548" max="553" width="8.77734375" bestFit="1" customWidth="1"/>
    <col min="554" max="554" width="9" bestFit="1" customWidth="1"/>
    <col min="555" max="556" width="8.77734375" bestFit="1" customWidth="1"/>
    <col min="557" max="578" width="9.77734375" bestFit="1" customWidth="1"/>
    <col min="579" max="581" width="8.77734375" bestFit="1" customWidth="1"/>
    <col min="582" max="582" width="9" bestFit="1" customWidth="1"/>
    <col min="583" max="587" width="8.77734375" bestFit="1" customWidth="1"/>
    <col min="588" max="609" width="9.77734375" bestFit="1" customWidth="1"/>
    <col min="610" max="610" width="9" bestFit="1" customWidth="1"/>
    <col min="611" max="616" width="8.77734375" bestFit="1" customWidth="1"/>
    <col min="617" max="617" width="9" bestFit="1" customWidth="1"/>
    <col min="618" max="618" width="8.77734375" bestFit="1" customWidth="1"/>
    <col min="619" max="648" width="9.77734375" bestFit="1" customWidth="1"/>
    <col min="649" max="670" width="10.77734375" bestFit="1" customWidth="1"/>
    <col min="671" max="679" width="9.77734375" bestFit="1" customWidth="1"/>
    <col min="680" max="700" width="10.77734375" bestFit="1" customWidth="1"/>
    <col min="701" max="709" width="9.77734375" bestFit="1" customWidth="1"/>
    <col min="710" max="731" width="10.77734375" bestFit="1" customWidth="1"/>
    <col min="732" max="732" width="12" bestFit="1" customWidth="1"/>
  </cols>
  <sheetData>
    <row r="2" spans="2:13" ht="18" x14ac:dyDescent="0.35">
      <c r="B2" s="30" t="s">
        <v>108</v>
      </c>
    </row>
    <row r="3" spans="2:13" x14ac:dyDescent="0.3">
      <c r="B3" s="3" t="s">
        <v>9</v>
      </c>
      <c r="C3" t="s">
        <v>5</v>
      </c>
      <c r="D3" t="s">
        <v>6</v>
      </c>
      <c r="E3" t="s">
        <v>7</v>
      </c>
      <c r="F3" t="s">
        <v>8</v>
      </c>
      <c r="G3" t="s">
        <v>50</v>
      </c>
      <c r="H3" t="s">
        <v>46</v>
      </c>
    </row>
    <row r="4" spans="2:13" x14ac:dyDescent="0.3">
      <c r="B4" s="4" t="s">
        <v>15</v>
      </c>
      <c r="C4" s="2">
        <v>13464510.130000001</v>
      </c>
      <c r="D4" s="2">
        <v>1644657.97</v>
      </c>
      <c r="E4" s="2">
        <v>39222523</v>
      </c>
      <c r="F4" s="2">
        <v>83541</v>
      </c>
      <c r="G4" s="2">
        <v>1.4520945945945951</v>
      </c>
      <c r="H4" s="2">
        <v>3582.3692000000019</v>
      </c>
    </row>
    <row r="5" spans="2:13" x14ac:dyDescent="0.3">
      <c r="B5" s="4" t="s">
        <v>16</v>
      </c>
      <c r="C5" s="2">
        <v>20113458.210000001</v>
      </c>
      <c r="D5" s="2">
        <v>2469314.85</v>
      </c>
      <c r="E5" s="2">
        <v>57705567</v>
      </c>
      <c r="F5" s="2">
        <v>124319</v>
      </c>
      <c r="G5" s="2">
        <v>1.8232203389830517</v>
      </c>
      <c r="H5" s="2">
        <v>4573.2657000000027</v>
      </c>
      <c r="I5" s="25"/>
      <c r="J5" s="8"/>
    </row>
    <row r="6" spans="2:13" x14ac:dyDescent="0.3">
      <c r="B6" s="4" t="s">
        <v>14</v>
      </c>
      <c r="C6" s="2">
        <v>33577968.340000004</v>
      </c>
      <c r="D6" s="2">
        <v>4113972.82</v>
      </c>
      <c r="E6" s="2">
        <v>96928090</v>
      </c>
      <c r="F6" s="2">
        <v>207860</v>
      </c>
      <c r="G6" s="2">
        <v>1.663858800773691</v>
      </c>
      <c r="H6" s="2">
        <v>8155.6348999999846</v>
      </c>
    </row>
    <row r="7" spans="2:13" x14ac:dyDescent="0.3">
      <c r="B7" s="4"/>
      <c r="C7" s="2"/>
      <c r="D7" s="2"/>
      <c r="E7" s="2"/>
      <c r="F7" s="2"/>
      <c r="G7" s="2"/>
      <c r="H7" s="2"/>
    </row>
    <row r="8" spans="2:13" x14ac:dyDescent="0.3">
      <c r="B8" s="4"/>
      <c r="C8" s="2"/>
      <c r="D8" s="2"/>
      <c r="E8" s="2"/>
      <c r="F8" s="2"/>
      <c r="G8" s="2"/>
      <c r="H8" s="2"/>
    </row>
    <row r="9" spans="2:13" ht="18" x14ac:dyDescent="0.35">
      <c r="B9" s="30" t="s">
        <v>109</v>
      </c>
    </row>
    <row r="10" spans="2:13" x14ac:dyDescent="0.3">
      <c r="B10" s="3" t="s">
        <v>5</v>
      </c>
      <c r="C10" s="3" t="s">
        <v>29</v>
      </c>
    </row>
    <row r="11" spans="2:13" ht="15.6" x14ac:dyDescent="0.3">
      <c r="B11" s="3" t="s">
        <v>9</v>
      </c>
      <c r="C11" t="s">
        <v>15</v>
      </c>
      <c r="D11" t="s">
        <v>16</v>
      </c>
      <c r="E11" t="s">
        <v>14</v>
      </c>
      <c r="M11" s="1"/>
    </row>
    <row r="12" spans="2:13" ht="15.6" x14ac:dyDescent="0.3">
      <c r="B12" s="4" t="s">
        <v>17</v>
      </c>
      <c r="C12" s="2">
        <v>589125</v>
      </c>
      <c r="D12" s="2">
        <v>1201288.6099999999</v>
      </c>
      <c r="E12" s="2">
        <v>1790413.6099999999</v>
      </c>
      <c r="M12" s="1"/>
    </row>
    <row r="13" spans="2:13" ht="15.6" x14ac:dyDescent="0.3">
      <c r="B13" s="4" t="s">
        <v>18</v>
      </c>
      <c r="C13" s="2">
        <v>720000</v>
      </c>
      <c r="D13" s="2">
        <v>1270928.04</v>
      </c>
      <c r="E13" s="2">
        <v>1990928.04</v>
      </c>
      <c r="M13" s="1"/>
    </row>
    <row r="14" spans="2:13" ht="15.6" x14ac:dyDescent="0.3">
      <c r="B14" s="4" t="s">
        <v>19</v>
      </c>
      <c r="C14" s="2">
        <v>779250</v>
      </c>
      <c r="D14" s="2">
        <v>1234813.8799999999</v>
      </c>
      <c r="E14" s="2">
        <v>2014063.88</v>
      </c>
      <c r="M14" s="1"/>
    </row>
    <row r="15" spans="2:13" ht="15.6" x14ac:dyDescent="0.3">
      <c r="B15" s="4" t="s">
        <v>20</v>
      </c>
      <c r="C15" s="2">
        <v>902383.31</v>
      </c>
      <c r="D15" s="2">
        <v>1270451.23</v>
      </c>
      <c r="E15" s="2">
        <v>2172834.54</v>
      </c>
      <c r="M15" s="1"/>
    </row>
    <row r="16" spans="2:13" x14ac:dyDescent="0.3">
      <c r="B16" s="4" t="s">
        <v>21</v>
      </c>
      <c r="C16" s="2">
        <v>1070748.33</v>
      </c>
      <c r="D16" s="2">
        <v>1590982.51</v>
      </c>
      <c r="E16" s="2">
        <v>2661730.84</v>
      </c>
    </row>
    <row r="17" spans="2:5" x14ac:dyDescent="0.3">
      <c r="B17" s="4" t="s">
        <v>22</v>
      </c>
      <c r="C17" s="2">
        <v>965588.26</v>
      </c>
      <c r="D17" s="2">
        <v>1443615.8499999999</v>
      </c>
      <c r="E17" s="2">
        <v>2409204.11</v>
      </c>
    </row>
    <row r="18" spans="2:5" x14ac:dyDescent="0.3">
      <c r="B18" s="4" t="s">
        <v>23</v>
      </c>
      <c r="C18" s="2">
        <v>1290750</v>
      </c>
      <c r="D18" s="2">
        <v>1714874.95</v>
      </c>
      <c r="E18" s="2">
        <v>3005624.95</v>
      </c>
    </row>
    <row r="19" spans="2:5" x14ac:dyDescent="0.3">
      <c r="B19" s="4" t="s">
        <v>24</v>
      </c>
      <c r="C19" s="2">
        <v>1308973.2</v>
      </c>
      <c r="D19" s="2">
        <v>1861950.67</v>
      </c>
      <c r="E19" s="2">
        <v>3170923.87</v>
      </c>
    </row>
    <row r="20" spans="2:5" x14ac:dyDescent="0.3">
      <c r="B20" s="4" t="s">
        <v>25</v>
      </c>
      <c r="C20" s="2">
        <v>1233473</v>
      </c>
      <c r="D20" s="2">
        <v>2287855.1799999997</v>
      </c>
      <c r="E20" s="2">
        <v>3521328.1799999997</v>
      </c>
    </row>
    <row r="21" spans="2:5" x14ac:dyDescent="0.3">
      <c r="B21" s="4" t="s">
        <v>26</v>
      </c>
      <c r="C21" s="2">
        <v>1343467.97</v>
      </c>
      <c r="D21" s="2">
        <v>2190555.2400000002</v>
      </c>
      <c r="E21" s="2">
        <v>3534023.21</v>
      </c>
    </row>
    <row r="22" spans="2:5" x14ac:dyDescent="0.3">
      <c r="B22" s="4" t="s">
        <v>27</v>
      </c>
      <c r="C22" s="2">
        <v>1428955.36</v>
      </c>
      <c r="D22" s="2">
        <v>2094258.24</v>
      </c>
      <c r="E22" s="2">
        <v>3523213.6</v>
      </c>
    </row>
    <row r="23" spans="2:5" x14ac:dyDescent="0.3">
      <c r="B23" s="4" t="s">
        <v>28</v>
      </c>
      <c r="C23" s="2">
        <v>1831795.7000000002</v>
      </c>
      <c r="D23" s="2">
        <v>1951883.81</v>
      </c>
      <c r="E23" s="2">
        <v>3783679.5100000002</v>
      </c>
    </row>
    <row r="24" spans="2:5" x14ac:dyDescent="0.3">
      <c r="B24" s="4" t="s">
        <v>14</v>
      </c>
      <c r="C24" s="2">
        <v>13464510.130000003</v>
      </c>
      <c r="D24" s="2">
        <v>20113458.209999997</v>
      </c>
      <c r="E24" s="2">
        <v>33577968.340000004</v>
      </c>
    </row>
    <row r="25" spans="2:5" x14ac:dyDescent="0.3">
      <c r="B25" s="4"/>
      <c r="C25" s="2"/>
      <c r="D25" s="2"/>
      <c r="E25" s="2"/>
    </row>
    <row r="26" spans="2:5" x14ac:dyDescent="0.3">
      <c r="B26" s="4"/>
      <c r="C26" s="2"/>
      <c r="D26" s="2"/>
      <c r="E26" s="2"/>
    </row>
    <row r="27" spans="2:5" ht="18" x14ac:dyDescent="0.35">
      <c r="B27" s="30" t="s">
        <v>110</v>
      </c>
    </row>
    <row r="28" spans="2:5" x14ac:dyDescent="0.3">
      <c r="B28" s="3" t="s">
        <v>5</v>
      </c>
      <c r="C28" s="3" t="s">
        <v>29</v>
      </c>
    </row>
    <row r="29" spans="2:5" x14ac:dyDescent="0.3">
      <c r="B29" s="3" t="s">
        <v>9</v>
      </c>
      <c r="C29" t="s">
        <v>15</v>
      </c>
      <c r="D29" t="s">
        <v>16</v>
      </c>
      <c r="E29" t="s">
        <v>14</v>
      </c>
    </row>
    <row r="30" spans="2:5" x14ac:dyDescent="0.3">
      <c r="B30" s="4" t="s">
        <v>17</v>
      </c>
      <c r="C30" s="2">
        <v>589125</v>
      </c>
      <c r="D30" s="2">
        <v>1201288.6099999999</v>
      </c>
      <c r="E30" s="2">
        <v>1790413.6099999999</v>
      </c>
    </row>
    <row r="31" spans="2:5" x14ac:dyDescent="0.3">
      <c r="B31" s="4" t="s">
        <v>18</v>
      </c>
      <c r="C31" s="2">
        <v>720000</v>
      </c>
      <c r="D31" s="2">
        <v>1270928.04</v>
      </c>
      <c r="E31" s="2">
        <v>1990928.04</v>
      </c>
    </row>
    <row r="32" spans="2:5" x14ac:dyDescent="0.3">
      <c r="B32" s="4" t="s">
        <v>19</v>
      </c>
      <c r="C32" s="2">
        <v>779250</v>
      </c>
      <c r="D32" s="2">
        <v>1234813.8799999999</v>
      </c>
      <c r="E32" s="2">
        <v>2014063.88</v>
      </c>
    </row>
    <row r="33" spans="2:5" x14ac:dyDescent="0.3">
      <c r="B33" s="4" t="s">
        <v>20</v>
      </c>
      <c r="C33" s="2">
        <v>902383.31</v>
      </c>
      <c r="D33" s="2">
        <v>1270451.23</v>
      </c>
      <c r="E33" s="2">
        <v>2172834.54</v>
      </c>
    </row>
    <row r="34" spans="2:5" x14ac:dyDescent="0.3">
      <c r="B34" s="4" t="s">
        <v>21</v>
      </c>
      <c r="C34" s="2">
        <v>1070748.33</v>
      </c>
      <c r="D34" s="2">
        <v>1590982.51</v>
      </c>
      <c r="E34" s="2">
        <v>2661730.84</v>
      </c>
    </row>
    <row r="35" spans="2:5" x14ac:dyDescent="0.3">
      <c r="B35" s="4" t="s">
        <v>22</v>
      </c>
      <c r="C35" s="2">
        <v>965588.26</v>
      </c>
      <c r="D35" s="2">
        <v>1443615.8499999999</v>
      </c>
      <c r="E35" s="2">
        <v>2409204.11</v>
      </c>
    </row>
    <row r="36" spans="2:5" x14ac:dyDescent="0.3">
      <c r="B36" s="4" t="s">
        <v>23</v>
      </c>
      <c r="C36" s="2">
        <v>1290750</v>
      </c>
      <c r="D36" s="2">
        <v>1714874.95</v>
      </c>
      <c r="E36" s="2">
        <v>3005624.95</v>
      </c>
    </row>
    <row r="37" spans="2:5" x14ac:dyDescent="0.3">
      <c r="B37" s="4" t="s">
        <v>24</v>
      </c>
      <c r="C37" s="2">
        <v>1308973.2</v>
      </c>
      <c r="D37" s="2">
        <v>1861950.67</v>
      </c>
      <c r="E37" s="2">
        <v>3170923.87</v>
      </c>
    </row>
    <row r="38" spans="2:5" x14ac:dyDescent="0.3">
      <c r="B38" s="4" t="s">
        <v>25</v>
      </c>
      <c r="C38" s="2">
        <v>1233473</v>
      </c>
      <c r="D38" s="2">
        <v>2287855.1799999997</v>
      </c>
      <c r="E38" s="2">
        <v>3521328.1799999997</v>
      </c>
    </row>
    <row r="39" spans="2:5" x14ac:dyDescent="0.3">
      <c r="B39" s="4" t="s">
        <v>26</v>
      </c>
      <c r="C39" s="2">
        <v>1343467.97</v>
      </c>
      <c r="D39" s="2">
        <v>2190555.2400000002</v>
      </c>
      <c r="E39" s="2">
        <v>3534023.21</v>
      </c>
    </row>
    <row r="40" spans="2:5" x14ac:dyDescent="0.3">
      <c r="B40" s="4" t="s">
        <v>27</v>
      </c>
      <c r="C40" s="2">
        <v>1428955.36</v>
      </c>
      <c r="D40" s="2">
        <v>2094258.24</v>
      </c>
      <c r="E40" s="2">
        <v>3523213.6</v>
      </c>
    </row>
    <row r="41" spans="2:5" x14ac:dyDescent="0.3">
      <c r="B41" s="4" t="s">
        <v>28</v>
      </c>
      <c r="C41" s="2">
        <v>1831795.7000000002</v>
      </c>
      <c r="D41" s="2">
        <v>1951883.81</v>
      </c>
      <c r="E41" s="2">
        <v>3783679.5100000002</v>
      </c>
    </row>
    <row r="42" spans="2:5" x14ac:dyDescent="0.3">
      <c r="B42" s="4" t="s">
        <v>14</v>
      </c>
      <c r="C42" s="2">
        <v>13464510.130000003</v>
      </c>
      <c r="D42" s="2">
        <v>20113458.209999997</v>
      </c>
      <c r="E42" s="2">
        <v>33577968.340000004</v>
      </c>
    </row>
    <row r="45" spans="2:5" ht="18" x14ac:dyDescent="0.35">
      <c r="B45" s="30" t="s">
        <v>95</v>
      </c>
    </row>
    <row r="46" spans="2:5" x14ac:dyDescent="0.3">
      <c r="B46" s="3" t="s">
        <v>9</v>
      </c>
      <c r="C46" t="s">
        <v>5</v>
      </c>
      <c r="D46" t="s">
        <v>8</v>
      </c>
    </row>
    <row r="47" spans="2:5" x14ac:dyDescent="0.3">
      <c r="B47" s="4" t="s">
        <v>30</v>
      </c>
      <c r="C47" s="2">
        <v>4917146.66</v>
      </c>
      <c r="D47" s="2">
        <v>19518</v>
      </c>
    </row>
    <row r="48" spans="2:5" x14ac:dyDescent="0.3">
      <c r="B48" s="4" t="s">
        <v>33</v>
      </c>
      <c r="C48" s="2">
        <v>6936289.5699999994</v>
      </c>
      <c r="D48" s="2">
        <v>44732</v>
      </c>
    </row>
    <row r="49" spans="2:4" x14ac:dyDescent="0.3">
      <c r="B49" s="4" t="s">
        <v>32</v>
      </c>
      <c r="C49" s="2">
        <v>7523279.0399999991</v>
      </c>
      <c r="D49" s="2">
        <v>49608</v>
      </c>
    </row>
    <row r="50" spans="2:4" x14ac:dyDescent="0.3">
      <c r="B50" s="4" t="s">
        <v>31</v>
      </c>
      <c r="C50" s="2">
        <v>14201253.07</v>
      </c>
      <c r="D50" s="2">
        <v>94002</v>
      </c>
    </row>
    <row r="51" spans="2:4" x14ac:dyDescent="0.3">
      <c r="B51" s="4" t="s">
        <v>14</v>
      </c>
      <c r="C51" s="2">
        <v>33577968.339999996</v>
      </c>
      <c r="D51" s="2">
        <v>207860</v>
      </c>
    </row>
    <row r="54" spans="2:4" ht="18" x14ac:dyDescent="0.35">
      <c r="B54" s="30" t="s">
        <v>90</v>
      </c>
    </row>
    <row r="55" spans="2:4" x14ac:dyDescent="0.3">
      <c r="B55" s="3" t="s">
        <v>9</v>
      </c>
      <c r="C55" t="s">
        <v>5</v>
      </c>
    </row>
    <row r="56" spans="2:4" x14ac:dyDescent="0.3">
      <c r="B56" s="4" t="s">
        <v>45</v>
      </c>
      <c r="C56" s="23">
        <v>7526106.3199999994</v>
      </c>
    </row>
    <row r="57" spans="2:4" x14ac:dyDescent="0.3">
      <c r="B57" s="4" t="s">
        <v>41</v>
      </c>
      <c r="C57" s="23">
        <v>5903948.3800000008</v>
      </c>
    </row>
    <row r="58" spans="2:4" x14ac:dyDescent="0.3">
      <c r="B58" s="4" t="s">
        <v>40</v>
      </c>
      <c r="C58" s="23">
        <v>4710860.21</v>
      </c>
    </row>
    <row r="59" spans="2:4" x14ac:dyDescent="0.3">
      <c r="B59" s="4" t="s">
        <v>36</v>
      </c>
      <c r="C59" s="23">
        <v>3321507.81</v>
      </c>
    </row>
    <row r="60" spans="2:4" x14ac:dyDescent="0.3">
      <c r="B60" s="4" t="s">
        <v>44</v>
      </c>
      <c r="C60" s="23">
        <v>3301121.15</v>
      </c>
    </row>
    <row r="61" spans="2:4" x14ac:dyDescent="0.3">
      <c r="B61" s="4" t="s">
        <v>14</v>
      </c>
      <c r="C61" s="23">
        <v>24763543.870000001</v>
      </c>
    </row>
    <row r="63" spans="2:4" hidden="1" x14ac:dyDescent="0.3"/>
    <row r="64" spans="2:4" hidden="1" x14ac:dyDescent="0.3">
      <c r="B64" s="3" t="s">
        <v>9</v>
      </c>
      <c r="C64" t="s">
        <v>8</v>
      </c>
    </row>
    <row r="65" spans="2:10" hidden="1" x14ac:dyDescent="0.3">
      <c r="B65" s="4" t="s">
        <v>30</v>
      </c>
      <c r="C65" s="2">
        <v>19518</v>
      </c>
    </row>
    <row r="66" spans="2:10" hidden="1" x14ac:dyDescent="0.3">
      <c r="B66" s="4" t="s">
        <v>33</v>
      </c>
      <c r="C66" s="2">
        <v>44732</v>
      </c>
    </row>
    <row r="67" spans="2:10" hidden="1" x14ac:dyDescent="0.3">
      <c r="B67" s="4" t="s">
        <v>32</v>
      </c>
      <c r="C67" s="2">
        <v>49608</v>
      </c>
    </row>
    <row r="68" spans="2:10" hidden="1" x14ac:dyDescent="0.3">
      <c r="B68" s="4" t="s">
        <v>31</v>
      </c>
      <c r="C68" s="2">
        <v>94002</v>
      </c>
    </row>
    <row r="69" spans="2:10" hidden="1" x14ac:dyDescent="0.3">
      <c r="B69" s="4" t="s">
        <v>14</v>
      </c>
      <c r="C69" s="2">
        <v>207860</v>
      </c>
    </row>
    <row r="72" spans="2:10" ht="18" x14ac:dyDescent="0.35">
      <c r="B72" s="30" t="s">
        <v>91</v>
      </c>
    </row>
    <row r="73" spans="2:10" x14ac:dyDescent="0.3">
      <c r="B73" s="3" t="s">
        <v>9</v>
      </c>
      <c r="C73" t="s">
        <v>6</v>
      </c>
      <c r="D73" t="s">
        <v>5</v>
      </c>
    </row>
    <row r="74" spans="2:10" x14ac:dyDescent="0.3">
      <c r="B74" s="4" t="s">
        <v>34</v>
      </c>
      <c r="C74" s="2">
        <v>159300</v>
      </c>
      <c r="D74" s="2">
        <v>1480725</v>
      </c>
      <c r="J74" s="20"/>
    </row>
    <row r="75" spans="2:10" x14ac:dyDescent="0.3">
      <c r="B75" s="4" t="s">
        <v>35</v>
      </c>
      <c r="C75" s="2">
        <v>74650</v>
      </c>
      <c r="D75" s="2">
        <v>666825</v>
      </c>
      <c r="J75" s="20"/>
    </row>
    <row r="76" spans="2:10" x14ac:dyDescent="0.3">
      <c r="B76" s="4" t="s">
        <v>36</v>
      </c>
      <c r="C76" s="2">
        <v>377693.37</v>
      </c>
      <c r="D76" s="2">
        <v>3321507.81</v>
      </c>
      <c r="J76" s="20"/>
    </row>
    <row r="77" spans="2:10" x14ac:dyDescent="0.3">
      <c r="B77" s="4" t="s">
        <v>37</v>
      </c>
      <c r="C77" s="2">
        <v>135664.70000000001</v>
      </c>
      <c r="D77" s="2">
        <v>1000645.2</v>
      </c>
      <c r="J77" s="20"/>
    </row>
    <row r="78" spans="2:10" x14ac:dyDescent="0.3">
      <c r="B78" s="4" t="s">
        <v>38</v>
      </c>
      <c r="C78" s="2">
        <v>92568.67</v>
      </c>
      <c r="D78" s="2">
        <v>637166.08000000007</v>
      </c>
      <c r="J78" s="20"/>
    </row>
    <row r="79" spans="2:10" x14ac:dyDescent="0.3">
      <c r="B79" s="4" t="s">
        <v>39</v>
      </c>
      <c r="C79" s="2">
        <v>168668.88999999998</v>
      </c>
      <c r="D79" s="2">
        <v>1337997.76</v>
      </c>
    </row>
    <row r="80" spans="2:10" x14ac:dyDescent="0.3">
      <c r="B80" s="4" t="s">
        <v>40</v>
      </c>
      <c r="C80" s="2">
        <v>550311.75</v>
      </c>
      <c r="D80" s="2">
        <v>4710860.21</v>
      </c>
    </row>
    <row r="81" spans="2:4" x14ac:dyDescent="0.3">
      <c r="B81" s="4" t="s">
        <v>41</v>
      </c>
      <c r="C81" s="2">
        <v>737503.08000000007</v>
      </c>
      <c r="D81" s="2">
        <v>5903948.3800000008</v>
      </c>
    </row>
    <row r="82" spans="2:4" x14ac:dyDescent="0.3">
      <c r="B82" s="4" t="s">
        <v>42</v>
      </c>
      <c r="C82" s="2">
        <v>315964.82999999996</v>
      </c>
      <c r="D82" s="2">
        <v>2443942.3600000003</v>
      </c>
    </row>
    <row r="83" spans="2:4" x14ac:dyDescent="0.3">
      <c r="B83" s="4" t="s">
        <v>43</v>
      </c>
      <c r="C83" s="2">
        <v>168293.26</v>
      </c>
      <c r="D83" s="2">
        <v>1247123.0699999998</v>
      </c>
    </row>
    <row r="84" spans="2:4" x14ac:dyDescent="0.3">
      <c r="B84" s="4" t="s">
        <v>44</v>
      </c>
      <c r="C84" s="2">
        <v>380315.77</v>
      </c>
      <c r="D84" s="2">
        <v>3301121.15</v>
      </c>
    </row>
    <row r="85" spans="2:4" x14ac:dyDescent="0.3">
      <c r="B85" s="4" t="s">
        <v>45</v>
      </c>
      <c r="C85" s="2">
        <v>953038.5</v>
      </c>
      <c r="D85" s="2">
        <v>7526106.3199999994</v>
      </c>
    </row>
    <row r="86" spans="2:4" x14ac:dyDescent="0.3">
      <c r="B86" s="4" t="s">
        <v>14</v>
      </c>
      <c r="C86" s="2">
        <v>4113972.82</v>
      </c>
      <c r="D86" s="2">
        <v>33577968.340000004</v>
      </c>
    </row>
    <row r="87" spans="2:4" s="18" customFormat="1" x14ac:dyDescent="0.3"/>
    <row r="88" spans="2:4" ht="18" x14ac:dyDescent="0.35">
      <c r="B88" s="30" t="s">
        <v>61</v>
      </c>
    </row>
    <row r="89" spans="2:4" x14ac:dyDescent="0.3">
      <c r="B89" s="3" t="s">
        <v>9</v>
      </c>
      <c r="C89" t="s">
        <v>5</v>
      </c>
    </row>
    <row r="90" spans="2:4" x14ac:dyDescent="0.3">
      <c r="B90" s="4" t="s">
        <v>12</v>
      </c>
      <c r="C90" s="2">
        <v>11746551.029999999</v>
      </c>
    </row>
    <row r="91" spans="2:4" x14ac:dyDescent="0.3">
      <c r="B91" s="4" t="s">
        <v>11</v>
      </c>
      <c r="C91" s="2">
        <v>9635644.3200000003</v>
      </c>
    </row>
    <row r="92" spans="2:4" x14ac:dyDescent="0.3">
      <c r="B92" s="4" t="s">
        <v>13</v>
      </c>
      <c r="C92" s="2">
        <v>7172633.1400000006</v>
      </c>
    </row>
    <row r="93" spans="2:4" x14ac:dyDescent="0.3">
      <c r="B93" s="4" t="s">
        <v>10</v>
      </c>
      <c r="C93" s="2">
        <v>5023139.8499999996</v>
      </c>
    </row>
    <row r="94" spans="2:4" x14ac:dyDescent="0.3">
      <c r="B94" s="4" t="s">
        <v>14</v>
      </c>
      <c r="C94" s="2">
        <v>33577968.340000004</v>
      </c>
    </row>
    <row r="97" spans="2:3" ht="18" x14ac:dyDescent="0.35">
      <c r="B97" s="30" t="s">
        <v>89</v>
      </c>
    </row>
    <row r="98" spans="2:3" x14ac:dyDescent="0.3">
      <c r="B98" s="3" t="s">
        <v>9</v>
      </c>
      <c r="C98" t="s">
        <v>5</v>
      </c>
    </row>
    <row r="99" spans="2:3" x14ac:dyDescent="0.3">
      <c r="B99" s="4" t="s">
        <v>47</v>
      </c>
      <c r="C99" s="2">
        <v>15082727.409999998</v>
      </c>
    </row>
    <row r="100" spans="2:3" x14ac:dyDescent="0.3">
      <c r="B100" s="4" t="s">
        <v>48</v>
      </c>
      <c r="C100" s="2">
        <v>12172956.609999999</v>
      </c>
    </row>
    <row r="101" spans="2:3" x14ac:dyDescent="0.3">
      <c r="B101" s="4" t="s">
        <v>49</v>
      </c>
      <c r="C101" s="2">
        <v>6322284.3200000003</v>
      </c>
    </row>
    <row r="102" spans="2:3" x14ac:dyDescent="0.3">
      <c r="B102" s="4" t="s">
        <v>14</v>
      </c>
      <c r="C102" s="2">
        <v>33577968.339999996</v>
      </c>
    </row>
  </sheetData>
  <pageMargins left="0.7" right="0.7" top="0.75" bottom="0.75" header="0.3" footer="0.3"/>
  <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A24BD4E-6BE4-4447-8E78-5DB4247606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Processing</vt:lpstr>
      <vt:lpstr>DASHBOARD</vt:lpstr>
      <vt:lpstr>Insights</vt:lpstr>
      <vt:lpstr>DATASET</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Jan</dc:creator>
  <cp:lastModifiedBy>muhammed Jan</cp:lastModifiedBy>
  <dcterms:created xsi:type="dcterms:W3CDTF">2026-05-19T10:56:56Z</dcterms:created>
  <dcterms:modified xsi:type="dcterms:W3CDTF">2026-06-11T20:31:51Z</dcterms:modified>
</cp:coreProperties>
</file>